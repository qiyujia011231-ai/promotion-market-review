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4"/>
  </bookViews>
  <sheets>
    <sheet name="大盘" sheetId="7" r:id="rId1"/>
    <sheet name="耳机品牌市占变化" sheetId="1" r:id="rId2"/>
    <sheet name="耳机品牌销额变化" sheetId="2" r:id="rId3"/>
    <sheet name="开耳品牌市占变化" sheetId="5" r:id="rId4"/>
    <sheet name="开耳品牌销额变化" sheetId="6" r:id="rId5"/>
    <sheet name="耳机价位段分布" sheetId="9" r:id="rId6"/>
    <sheet name="开耳价位段分布" sheetId="10" r:id="rId7"/>
    <sheet name="耳机价位段月度变化" sheetId="11" r:id="rId8"/>
    <sheet name="开耳价位段月度变化" sheetId="12" r:id="rId9"/>
    <sheet name="Soundcore" sheetId="13" r:id="rId10"/>
    <sheet name="全品牌汇总" sheetId="3" r:id="rId11"/>
    <sheet name="计算说明" sheetId="4" r:id="rId12"/>
  </sheets>
  <definedNames>
    <definedName name="_xlnm._FilterDatabase" localSheetId="10" hidden="1">全品牌汇总!$A$4:$G$1154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<sst xmlns="http://schemas.openxmlformats.org/spreadsheetml/2006/main" count="1621" uniqueCount="1291">
  <si>
    <t>品类</t>
  </si>
  <si>
    <t>25PD Retail Sales</t>
  </si>
  <si>
    <t>26PD Retail Sales</t>
  </si>
  <si>
    <t>YOY</t>
  </si>
  <si>
    <t>开耳</t>
  </si>
  <si>
    <t>骨传导</t>
  </si>
  <si>
    <t>入耳</t>
  </si>
  <si>
    <t>头戴式</t>
  </si>
  <si>
    <t>总计</t>
  </si>
  <si>
    <t>品牌市占变化数据</t>
  </si>
  <si>
    <t>25PD = week ending 2025-07-12; 26PD = week ending 2026-06-27; 指标 = Retail Sales</t>
  </si>
  <si>
    <t>说明：市占 = 品牌 Retail Sales / 当周全市场 Retail Sales。图中品牌顺序按参考图保留。</t>
  </si>
  <si>
    <t>Brand</t>
  </si>
  <si>
    <t>25PD Sales</t>
  </si>
  <si>
    <t>26PD Sales</t>
  </si>
  <si>
    <t>25PD Share</t>
  </si>
  <si>
    <t>26PD Share</t>
  </si>
  <si>
    <t>Apple</t>
  </si>
  <si>
    <t>Sony</t>
  </si>
  <si>
    <t>Soundcore</t>
  </si>
  <si>
    <t>Beats</t>
  </si>
  <si>
    <t>Bose</t>
  </si>
  <si>
    <t>SHOKZ</t>
  </si>
  <si>
    <t>JBL</t>
  </si>
  <si>
    <t>Jabra</t>
  </si>
  <si>
    <t>Samsung</t>
  </si>
  <si>
    <t>Sennheiser</t>
  </si>
  <si>
    <t>JLAB</t>
  </si>
  <si>
    <t>Market Total</t>
  </si>
  <si>
    <t>品牌销额变化数据</t>
  </si>
  <si>
    <t>说明：YOY = 26PD Retail Sales / 25PD Retail Sales - 1。图中品牌顺序按参考图保留。</t>
  </si>
  <si>
    <t>口径</t>
  </si>
  <si>
    <t>Country=Amazon UK; Product__Form in 耳夹/耳挂; 25PD=2025-07-12; 26PD=2026-06-27; 指标=Retail Sales</t>
  </si>
  <si>
    <t>开耳=耳夹+耳挂；指标=Retail Sales</t>
  </si>
  <si>
    <t>Huawei</t>
  </si>
  <si>
    <t>King Lucky</t>
  </si>
  <si>
    <t>Skullcandy</t>
  </si>
  <si>
    <t>-</t>
  </si>
  <si>
    <t>Sales YOY</t>
  </si>
  <si>
    <t>耳机价位段分布（25PD vs 26PD）</t>
  </si>
  <si>
    <t/>
  </si>
  <si>
    <t>口径：全耳机品类；25PD=week ending 2025-07-12；26PD=week ending 2026-06-27；指标=Retail Sales；低价位=0-80，中价位=80-160，高价位=160+。</t>
  </si>
  <si>
    <t>Price Range</t>
  </si>
  <si>
    <t>价位定义</t>
  </si>
  <si>
    <t>25PD占比</t>
  </si>
  <si>
    <t>26PD占比</t>
  </si>
  <si>
    <t>占比变化(pp)</t>
  </si>
  <si>
    <t>0~20</t>
  </si>
  <si>
    <t>低价位</t>
  </si>
  <si>
    <t>20~40</t>
  </si>
  <si>
    <t>中价位</t>
  </si>
  <si>
    <t>40~60</t>
  </si>
  <si>
    <t>高价位</t>
  </si>
  <si>
    <t>60~80</t>
  </si>
  <si>
    <t>80~100</t>
  </si>
  <si>
    <t>100~120</t>
  </si>
  <si>
    <t>120~140</t>
  </si>
  <si>
    <t>140~160</t>
  </si>
  <si>
    <t>160~180</t>
  </si>
  <si>
    <t>180~200</t>
  </si>
  <si>
    <t>200~220</t>
  </si>
  <si>
    <t>220~240</t>
  </si>
  <si>
    <t>240~260</t>
  </si>
  <si>
    <t>260~280</t>
  </si>
  <si>
    <t>280~300</t>
  </si>
  <si>
    <t>&gt;=300</t>
  </si>
  <si>
    <t>开耳价位段分布（25PD vs 26PD）</t>
  </si>
  <si>
    <t>口径：开耳=耳夹+耳挂；25PD=week ending 2025-07-12；26PD=week ending 2026-06-27；指标=Retail Sales；低价位=0-80，中价位=80-160，高价位=160+。</t>
  </si>
  <si>
    <t>耳机价格月度占比</t>
  </si>
  <si>
    <t>月份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</si>
  <si>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</si>
  <si>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</si>
  <si>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</si>
  <si>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</si>
  <si>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</si>
  <si>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</si>
  <si>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</si>
  <si>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</si>
  <si>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</si>
  <si>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</si>
  <si>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</si>
  <si>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</si>
  <si>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</si>
  <si>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销额数据</t>
  </si>
  <si>
    <t>开耳价格月度占比</t>
  </si>
  <si>
    <t>Soundcore品线/价位段增长贡献（26PD vs 25PD）</t>
  </si>
  <si>
    <t>Product Form</t>
  </si>
  <si>
    <t>耳挂</t>
  </si>
  <si>
    <t>耳夹</t>
  </si>
  <si>
    <t>贡献计算</t>
  </si>
  <si>
    <t>单元格 =（26PD该品线/价位段销额 - 25PD该品线/价位段销额）/ Soundcore总销额变化；各项合计为100%。</t>
  </si>
  <si>
    <t>Soundcore品线/价位段销额绝对值变化（26PD vs 25PD）</t>
  </si>
  <si>
    <t>£0</t>
  </si>
  <si>
    <t>£811</t>
  </si>
  <si>
    <t>£244</t>
  </si>
  <si>
    <t>£1,970</t>
  </si>
  <si>
    <t>£2,270</t>
  </si>
  <si>
    <t>£84</t>
  </si>
  <si>
    <t>£74,138</t>
  </si>
  <si>
    <t>£42,594</t>
  </si>
  <si>
    <t>£75,847</t>
  </si>
  <si>
    <t>£45,297</t>
  </si>
  <si>
    <t>£1,650</t>
  </si>
  <si>
    <t>£29,399</t>
  </si>
  <si>
    <t>£100,362</t>
  </si>
  <si>
    <t>£32,275</t>
  </si>
  <si>
    <t>£22,217</t>
  </si>
  <si>
    <t>£2,354</t>
  </si>
  <si>
    <t>£27,911</t>
  </si>
  <si>
    <t>£11,009</t>
  </si>
  <si>
    <t>£97,769</t>
  </si>
  <si>
    <t>£85,102</t>
  </si>
  <si>
    <t>£48,434</t>
  </si>
  <si>
    <t>Soundcore品线/价位段同比变化（26PD vs 25PD）</t>
  </si>
  <si>
    <t>新增</t>
  </si>
  <si>
    <t>Soundcore开耳产品销额表现</t>
  </si>
  <si>
    <t>型号</t>
  </si>
  <si>
    <t>占比</t>
  </si>
  <si>
    <t>V20i</t>
  </si>
  <si>
    <t>AeroClip</t>
  </si>
  <si>
    <t>AeroFit 2</t>
  </si>
  <si>
    <t>C30i</t>
  </si>
  <si>
    <t>C40i</t>
  </si>
  <si>
    <t>C50i</t>
  </si>
  <si>
    <t>V40i</t>
  </si>
  <si>
    <t>AeroFit Pro</t>
  </si>
  <si>
    <t>V30i</t>
  </si>
  <si>
    <t>汇总</t>
  </si>
  <si>
    <t>25PD</t>
  </si>
  <si>
    <t>26PD</t>
  </si>
  <si>
    <t>变化额</t>
  </si>
  <si>
    <t>Soundcore开耳总销额</t>
  </si>
  <si>
    <t>全品牌汇总</t>
  </si>
  <si>
    <t>25PD = week ending 2025-07-12; 26PD = week ending 2026-06-27; 指标 = Retail Sales; 仅汇总 Country = Amazon UK 源数据中的对应周。</t>
  </si>
  <si>
    <t>Rank by 26PD Sales</t>
  </si>
  <si>
    <t>Bowers &amp; Wilkins</t>
  </si>
  <si>
    <t>Nothing</t>
  </si>
  <si>
    <t>Btootos</t>
  </si>
  <si>
    <t>Drsaec</t>
  </si>
  <si>
    <t>MMWOWARTS</t>
  </si>
  <si>
    <t>Google</t>
  </si>
  <si>
    <t>earfun</t>
  </si>
  <si>
    <t>Logitech</t>
  </si>
  <si>
    <t>beyerdynamic</t>
  </si>
  <si>
    <t>Poly</t>
  </si>
  <si>
    <t>ZYHKON</t>
  </si>
  <si>
    <t>iClever</t>
  </si>
  <si>
    <t>Jxrev</t>
  </si>
  <si>
    <t>Sonos</t>
  </si>
  <si>
    <t>xinwld</t>
  </si>
  <si>
    <t>KVIDIO</t>
  </si>
  <si>
    <t>CMF BY NOTHING</t>
  </si>
  <si>
    <t>Linsoul</t>
  </si>
  <si>
    <t>Belkin</t>
  </si>
  <si>
    <t>HAOYUYAN</t>
  </si>
  <si>
    <t>TOZO</t>
  </si>
  <si>
    <t>OneOdio</t>
  </si>
  <si>
    <t>Marshall</t>
  </si>
  <si>
    <t>Ordtop</t>
  </si>
  <si>
    <t>Donerton</t>
  </si>
  <si>
    <t>Jesebang</t>
  </si>
  <si>
    <t>Rebocico</t>
  </si>
  <si>
    <t>Philips</t>
  </si>
  <si>
    <t>Technics</t>
  </si>
  <si>
    <t>AudioTechnica</t>
  </si>
  <si>
    <t>PowerLocus</t>
  </si>
  <si>
    <t>Wentronic</t>
  </si>
  <si>
    <t>raycon</t>
  </si>
  <si>
    <t>Cambridge</t>
  </si>
  <si>
    <t>JBES</t>
  </si>
  <si>
    <t>Yealink</t>
  </si>
  <si>
    <t>BENEWY</t>
  </si>
  <si>
    <t>Ozlo</t>
  </si>
  <si>
    <t>doqaus</t>
  </si>
  <si>
    <t>Xiaomi</t>
  </si>
  <si>
    <t>Wantek</t>
  </si>
  <si>
    <t>Poounur</t>
  </si>
  <si>
    <t>Soundpeats</t>
  </si>
  <si>
    <t>YHFvesv</t>
  </si>
  <si>
    <t>Uliptz</t>
  </si>
  <si>
    <t>Moondrop</t>
  </si>
  <si>
    <t>Avantree</t>
  </si>
  <si>
    <t>Bang &amp; Olufsen</t>
  </si>
  <si>
    <t>RORSOU</t>
  </si>
  <si>
    <t>Ludos</t>
  </si>
  <si>
    <t>UGREEN</t>
  </si>
  <si>
    <t>EPOS</t>
  </si>
  <si>
    <t>LORELEI</t>
  </si>
  <si>
    <t>Earbay</t>
  </si>
  <si>
    <t>Rulefiss</t>
  </si>
  <si>
    <t>ZIUTY</t>
  </si>
  <si>
    <t>Akg</t>
  </si>
  <si>
    <t>Hupoaf</t>
  </si>
  <si>
    <t>Edifier</t>
  </si>
  <si>
    <t>Hifiman</t>
  </si>
  <si>
    <t>Yinyoo</t>
  </si>
  <si>
    <t>Meze Audio</t>
  </si>
  <si>
    <t>ZJXD</t>
  </si>
  <si>
    <t>Xmenha</t>
  </si>
  <si>
    <t>Blukar</t>
  </si>
  <si>
    <t>H2O Audio</t>
  </si>
  <si>
    <t>Oneplus</t>
  </si>
  <si>
    <t>Fiio</t>
  </si>
  <si>
    <t>Onanoff</t>
  </si>
  <si>
    <t>Panasonic</t>
  </si>
  <si>
    <t>TRAUSI</t>
  </si>
  <si>
    <t>RUNOLIM</t>
  </si>
  <si>
    <t>Tecknet</t>
  </si>
  <si>
    <t>TRUTHEAR</t>
  </si>
  <si>
    <t>TZONOO</t>
  </si>
  <si>
    <t>Cillso</t>
  </si>
  <si>
    <t>Aptkdoe</t>
  </si>
  <si>
    <t>SteelSeries</t>
  </si>
  <si>
    <t>Betron</t>
  </si>
  <si>
    <t>JVC</t>
  </si>
  <si>
    <t>Pioneer</t>
  </si>
  <si>
    <t>Bxlive</t>
  </si>
  <si>
    <t>ZZU</t>
  </si>
  <si>
    <t>Shure</t>
  </si>
  <si>
    <t>OTL Technologies</t>
  </si>
  <si>
    <t>Playstation</t>
  </si>
  <si>
    <t>Artix</t>
  </si>
  <si>
    <t>COTOE</t>
  </si>
  <si>
    <t>EUQQ</t>
  </si>
  <si>
    <t>FUHAYA</t>
  </si>
  <si>
    <t>POMUIC</t>
  </si>
  <si>
    <t>hadbleng</t>
  </si>
  <si>
    <t>Cervanta</t>
  </si>
  <si>
    <t>JISWK</t>
  </si>
  <si>
    <t>ikt</t>
  </si>
  <si>
    <t>Koss</t>
  </si>
  <si>
    <t>AEAOA</t>
  </si>
  <si>
    <t>Focal</t>
  </si>
  <si>
    <t>Ltinist</t>
  </si>
  <si>
    <t>ISOtunes</t>
  </si>
  <si>
    <t>QXQ</t>
  </si>
  <si>
    <t>Trust</t>
  </si>
  <si>
    <t>Sanoto</t>
  </si>
  <si>
    <t>Csasan</t>
  </si>
  <si>
    <t>Puro Sound Labs</t>
  </si>
  <si>
    <t>Guudsoud</t>
  </si>
  <si>
    <t>JYPS</t>
  </si>
  <si>
    <t>Yamaha</t>
  </si>
  <si>
    <t>Venker</t>
  </si>
  <si>
    <t>tingchuan</t>
  </si>
  <si>
    <t>Voistek</t>
  </si>
  <si>
    <t>Xunpuls</t>
  </si>
  <si>
    <t>Boytond</t>
  </si>
  <si>
    <t>Baseus</t>
  </si>
  <si>
    <t>MONODEAL</t>
  </si>
  <si>
    <t>micool</t>
  </si>
  <si>
    <t>SoundMAGIC</t>
  </si>
  <si>
    <t>POGS</t>
  </si>
  <si>
    <t>HMUSIC</t>
  </si>
  <si>
    <t>ANSTEN</t>
  </si>
  <si>
    <t>Rythflo</t>
  </si>
  <si>
    <t>EKSA</t>
  </si>
  <si>
    <t>Thunelec</t>
  </si>
  <si>
    <t>Lexibook</t>
  </si>
  <si>
    <t>Dewalt</t>
  </si>
  <si>
    <t>Picun</t>
  </si>
  <si>
    <t>yoto</t>
  </si>
  <si>
    <t>HyperX</t>
  </si>
  <si>
    <t>Marley</t>
  </si>
  <si>
    <t>OWMSIC</t>
  </si>
  <si>
    <t>Roland</t>
  </si>
  <si>
    <t>AmazonBasics</t>
  </si>
  <si>
    <t>Vonztek</t>
  </si>
  <si>
    <t>MAS CARNEY</t>
  </si>
  <si>
    <t>yobola</t>
  </si>
  <si>
    <t>Oppo</t>
  </si>
  <si>
    <t>I love e iFecco</t>
  </si>
  <si>
    <t>Denon</t>
  </si>
  <si>
    <t>MEE audio</t>
  </si>
  <si>
    <t>Vekj</t>
  </si>
  <si>
    <t>aggoo</t>
  </si>
  <si>
    <t>New bee</t>
  </si>
  <si>
    <t>Ortizan</t>
  </si>
  <si>
    <t>Simolio</t>
  </si>
  <si>
    <t>Guguearth</t>
  </si>
  <si>
    <t>Project Telecom</t>
  </si>
  <si>
    <t>Noise</t>
  </si>
  <si>
    <t>Usoun</t>
  </si>
  <si>
    <t>RØDE</t>
  </si>
  <si>
    <t>OYIB</t>
  </si>
  <si>
    <t>Esonstyle</t>
  </si>
  <si>
    <t>cca</t>
  </si>
  <si>
    <t>Suunto</t>
  </si>
  <si>
    <t>Ailihen</t>
  </si>
  <si>
    <t>Rolosar</t>
  </si>
  <si>
    <t>Vic Firth</t>
  </si>
  <si>
    <t>Adam Audio</t>
  </si>
  <si>
    <t>Roxel</t>
  </si>
  <si>
    <t>Fanmusic</t>
  </si>
  <si>
    <t>AOVOCE</t>
  </si>
  <si>
    <t>Jrwaro</t>
  </si>
  <si>
    <t>CoolJumper</t>
  </si>
  <si>
    <t>OHAYO</t>
  </si>
  <si>
    <t>banigipa</t>
  </si>
  <si>
    <t>Rinsmola</t>
  </si>
  <si>
    <t>BASN</t>
  </si>
  <si>
    <t>Sunvito</t>
  </si>
  <si>
    <t>WorWoder</t>
  </si>
  <si>
    <t>mojawa</t>
  </si>
  <si>
    <t>INFURTURE</t>
  </si>
  <si>
    <t>awatrue</t>
  </si>
  <si>
    <t>tech sense lab</t>
  </si>
  <si>
    <t>Otium</t>
  </si>
  <si>
    <t>JoySpark</t>
  </si>
  <si>
    <t>Kidrox</t>
  </si>
  <si>
    <t>Hifuture</t>
  </si>
  <si>
    <t>moxking</t>
  </si>
  <si>
    <t>Conyat</t>
  </si>
  <si>
    <t>AVANTALK</t>
  </si>
  <si>
    <t>C G CHANGEEK</t>
  </si>
  <si>
    <t>Numark</t>
  </si>
  <si>
    <t>Havit</t>
  </si>
  <si>
    <t>JBUNION</t>
  </si>
  <si>
    <t>Dali</t>
  </si>
  <si>
    <t>AIAIAI</t>
  </si>
  <si>
    <t>truefree</t>
  </si>
  <si>
    <t>Asus</t>
  </si>
  <si>
    <t>Matast</t>
  </si>
  <si>
    <t>Lindy</t>
  </si>
  <si>
    <t>FCV</t>
  </si>
  <si>
    <t>Kuizil</t>
  </si>
  <si>
    <t>Microsoft</t>
  </si>
  <si>
    <t>Cowyawn</t>
  </si>
  <si>
    <t>GOBOULT</t>
  </si>
  <si>
    <t>Dell</t>
  </si>
  <si>
    <t>ojw</t>
  </si>
  <si>
    <t>1More</t>
  </si>
  <si>
    <t>Sumvision</t>
  </si>
  <si>
    <t>UXD</t>
  </si>
  <si>
    <t>Temdan</t>
  </si>
  <si>
    <t>Hearprotek</t>
  </si>
  <si>
    <t>Urbanista</t>
  </si>
  <si>
    <t>FuJiaXin</t>
  </si>
  <si>
    <t>Rockpapa</t>
  </si>
  <si>
    <t>Fosi Audio</t>
  </si>
  <si>
    <t>yusonic</t>
  </si>
  <si>
    <t>PowerA</t>
  </si>
  <si>
    <t>TUINYO</t>
  </si>
  <si>
    <t>AXFEE</t>
  </si>
  <si>
    <t>tonies</t>
  </si>
  <si>
    <t>NUROUM</t>
  </si>
  <si>
    <t>Tribit</t>
  </si>
  <si>
    <t>Dyson</t>
  </si>
  <si>
    <t>KESIEME</t>
  </si>
  <si>
    <t>Geekria</t>
  </si>
  <si>
    <t>OrcoW</t>
  </si>
  <si>
    <t>Creative</t>
  </si>
  <si>
    <t>BONBELONG</t>
  </si>
  <si>
    <t>ONITOON</t>
  </si>
  <si>
    <t>Beamingnet</t>
  </si>
  <si>
    <t>Junwolf</t>
  </si>
  <si>
    <t>Atheewon</t>
  </si>
  <si>
    <t>Srhythm</t>
  </si>
  <si>
    <t>PALOVUE</t>
  </si>
  <si>
    <t>Ample</t>
  </si>
  <si>
    <t>August Home</t>
  </si>
  <si>
    <t>MAONO</t>
  </si>
  <si>
    <t>Callez</t>
  </si>
  <si>
    <t>palglg</t>
  </si>
  <si>
    <t>Fifine</t>
  </si>
  <si>
    <t>Rydohi</t>
  </si>
  <si>
    <t>Seenda</t>
  </si>
  <si>
    <t>Mixx</t>
  </si>
  <si>
    <t>timu</t>
  </si>
  <si>
    <t>XINSHIKEJI</t>
  </si>
  <si>
    <t>SANAG</t>
  </si>
  <si>
    <t>energiemax</t>
  </si>
  <si>
    <t>Botesty Sound</t>
  </si>
  <si>
    <t>Razer</t>
  </si>
  <si>
    <t>KT1</t>
  </si>
  <si>
    <t>Amazfit</t>
  </si>
  <si>
    <t>Atopskins</t>
  </si>
  <si>
    <t>AOTONOK</t>
  </si>
  <si>
    <t>LOBKIN</t>
  </si>
  <si>
    <t>PEFUPEW</t>
  </si>
  <si>
    <t>Topiky</t>
  </si>
  <si>
    <t>ILOVE</t>
  </si>
  <si>
    <t>Saidbuds</t>
  </si>
  <si>
    <t>WC</t>
  </si>
  <si>
    <t>Budz</t>
  </si>
  <si>
    <t>Logitech G</t>
  </si>
  <si>
    <t>Riwbox</t>
  </si>
  <si>
    <t>KP TECHNOLOGY</t>
  </si>
  <si>
    <t>ACAGET</t>
  </si>
  <si>
    <t>gear4music</t>
  </si>
  <si>
    <t>Kogwjte</t>
  </si>
  <si>
    <t>Behringer</t>
  </si>
  <si>
    <t>Retekess</t>
  </si>
  <si>
    <t>Motast</t>
  </si>
  <si>
    <t>Dairle</t>
  </si>
  <si>
    <t>Lenovo</t>
  </si>
  <si>
    <t>Tayogo</t>
  </si>
  <si>
    <t>Geemarc</t>
  </si>
  <si>
    <t>BUGANI</t>
  </si>
  <si>
    <t>AMAFACE</t>
  </si>
  <si>
    <t>MELARQT</t>
  </si>
  <si>
    <t>Reloop</t>
  </si>
  <si>
    <t>APEKX</t>
  </si>
  <si>
    <t>SONICFOAM</t>
  </si>
  <si>
    <t>sprtoybat</t>
  </si>
  <si>
    <t>Mairdi</t>
  </si>
  <si>
    <t>Tukio</t>
  </si>
  <si>
    <t>Renimer</t>
  </si>
  <si>
    <t>Paekole</t>
  </si>
  <si>
    <t>TuneFlux</t>
  </si>
  <si>
    <t>Global Tech</t>
  </si>
  <si>
    <t>chalvh</t>
  </si>
  <si>
    <t>Haosie</t>
  </si>
  <si>
    <t>Acer</t>
  </si>
  <si>
    <t>1mii</t>
  </si>
  <si>
    <t>Snug</t>
  </si>
  <si>
    <t>IMYB</t>
  </si>
  <si>
    <t>YAGE</t>
  </si>
  <si>
    <t>Tiksounds</t>
  </si>
  <si>
    <t>KINBOOFI</t>
  </si>
  <si>
    <t>Cyber Acoustics</t>
  </si>
  <si>
    <t>Status</t>
  </si>
  <si>
    <t>QXUFV</t>
  </si>
  <si>
    <t>PingaOculto</t>
  </si>
  <si>
    <t>DAZZLEEX</t>
  </si>
  <si>
    <t>XUJAIOLQP</t>
  </si>
  <si>
    <t>YouthWhisper</t>
  </si>
  <si>
    <t>eppfun</t>
  </si>
  <si>
    <t>Voltvera</t>
  </si>
  <si>
    <t>Sendowtek</t>
  </si>
  <si>
    <t>NXPGKEA</t>
  </si>
  <si>
    <t>LG</t>
  </si>
  <si>
    <t>Final</t>
  </si>
  <si>
    <t>NUASI</t>
  </si>
  <si>
    <t>Milwaukee Electric Tool</t>
  </si>
  <si>
    <t>sajawass</t>
  </si>
  <si>
    <t>Golvery</t>
  </si>
  <si>
    <t>MORMOQUE</t>
  </si>
  <si>
    <t>Aftershokz</t>
  </si>
  <si>
    <t>M-Audio</t>
  </si>
  <si>
    <t>PROW</t>
  </si>
  <si>
    <t>Sephia</t>
  </si>
  <si>
    <t>VQ</t>
  </si>
  <si>
    <t>3M</t>
  </si>
  <si>
    <t>MKJ</t>
  </si>
  <si>
    <t>Motorola</t>
  </si>
  <si>
    <t>STECEi</t>
  </si>
  <si>
    <t>QUALYPÉ</t>
  </si>
  <si>
    <t>ASENTER</t>
  </si>
  <si>
    <t>DN-Technology</t>
  </si>
  <si>
    <t>HoldSound</t>
  </si>
  <si>
    <t>iPro Accessories</t>
  </si>
  <si>
    <t>Symphonized</t>
  </si>
  <si>
    <t>fresh 'n rebel</t>
  </si>
  <si>
    <t>Honor</t>
  </si>
  <si>
    <t>Grado</t>
  </si>
  <si>
    <t>Oraolo</t>
  </si>
  <si>
    <t>Nitecore</t>
  </si>
  <si>
    <t>ARTINABS</t>
  </si>
  <si>
    <t>DUSONLAP</t>
  </si>
  <si>
    <t>WUYI</t>
  </si>
  <si>
    <t>Biaze</t>
  </si>
  <si>
    <t>Opis Technology</t>
  </si>
  <si>
    <t>Sudio</t>
  </si>
  <si>
    <t>Comply</t>
  </si>
  <si>
    <t>Monyhigh</t>
  </si>
  <si>
    <t>Sisism</t>
  </si>
  <si>
    <t>Juice</t>
  </si>
  <si>
    <t>Conambo</t>
  </si>
  <si>
    <t>Orange</t>
  </si>
  <si>
    <t>Bywulanda</t>
  </si>
  <si>
    <t>Dtaigou</t>
  </si>
  <si>
    <t>Holiper</t>
  </si>
  <si>
    <t>KQLHLHDYZ</t>
  </si>
  <si>
    <t>SWZEC</t>
  </si>
  <si>
    <t>Trust Gaming</t>
  </si>
  <si>
    <t>AIYIBEN</t>
  </si>
  <si>
    <t>Jurassic World</t>
  </si>
  <si>
    <t>Wicked</t>
  </si>
  <si>
    <t>Luckyrao</t>
  </si>
  <si>
    <t>Better</t>
  </si>
  <si>
    <t>Anka</t>
  </si>
  <si>
    <t>Spy Tec</t>
  </si>
  <si>
    <t>Hidizs</t>
  </si>
  <si>
    <t>Stagg</t>
  </si>
  <si>
    <t>V-MODA</t>
  </si>
  <si>
    <t>Pulse</t>
  </si>
  <si>
    <t>Alesis</t>
  </si>
  <si>
    <t>Qecnato</t>
  </si>
  <si>
    <t>Activo</t>
  </si>
  <si>
    <t>eartec office</t>
  </si>
  <si>
    <t>Megadream</t>
  </si>
  <si>
    <t>Vancle</t>
  </si>
  <si>
    <t>GravaStar</t>
  </si>
  <si>
    <t>Etymotic Research</t>
  </si>
  <si>
    <t>boAt</t>
  </si>
  <si>
    <t>Kinivo</t>
  </si>
  <si>
    <t>Bluedio</t>
  </si>
  <si>
    <t>Aiivioll</t>
  </si>
  <si>
    <t>TSYMO</t>
  </si>
  <si>
    <t>ONTA</t>
  </si>
  <si>
    <t>Daysnew</t>
  </si>
  <si>
    <t>AILZPXX</t>
  </si>
  <si>
    <t>WeurGhy</t>
  </si>
  <si>
    <t>MiPow</t>
  </si>
  <si>
    <t>AGPtEK</t>
  </si>
  <si>
    <t>lesun</t>
  </si>
  <si>
    <t>Aiwa</t>
  </si>
  <si>
    <t>Realme</t>
  </si>
  <si>
    <t>Hama</t>
  </si>
  <si>
    <t>HiFiGo</t>
  </si>
  <si>
    <t>Moeckearla</t>
  </si>
  <si>
    <t>LIROPAU</t>
  </si>
  <si>
    <t>talomen</t>
  </si>
  <si>
    <t>JustJamz</t>
  </si>
  <si>
    <t>Korg</t>
  </si>
  <si>
    <t>ZIOCOM</t>
  </si>
  <si>
    <t>Wekily</t>
  </si>
  <si>
    <t>TechRise</t>
  </si>
  <si>
    <t>AIVANE</t>
  </si>
  <si>
    <t>FAMATE</t>
  </si>
  <si>
    <t>Andthere</t>
  </si>
  <si>
    <t>AOC</t>
  </si>
  <si>
    <t>TriLink</t>
  </si>
  <si>
    <t>JOKBEN</t>
  </si>
  <si>
    <t>YANKUIRUI</t>
  </si>
  <si>
    <t>tanchjim</t>
  </si>
  <si>
    <t>SOPPY</t>
  </si>
  <si>
    <t>UliX</t>
  </si>
  <si>
    <t>Lytmi</t>
  </si>
  <si>
    <t>Intempo</t>
  </si>
  <si>
    <t>syndesmos</t>
  </si>
  <si>
    <t>Dark Horse Comics</t>
  </si>
  <si>
    <t>SIVGA</t>
  </si>
  <si>
    <t>AV Link</t>
  </si>
  <si>
    <t>MOSWAG</t>
  </si>
  <si>
    <t>Cableguys</t>
  </si>
  <si>
    <t>WPARHUS</t>
  </si>
  <si>
    <t>Coomax</t>
  </si>
  <si>
    <t>Urbanears</t>
  </si>
  <si>
    <t>MUNSKT</t>
  </si>
  <si>
    <t>iMangoo</t>
  </si>
  <si>
    <t>PIXFAB</t>
  </si>
  <si>
    <t>CG</t>
  </si>
  <si>
    <t>Rain Bird</t>
  </si>
  <si>
    <t>Groov-e</t>
  </si>
  <si>
    <t>WuXingMeiLi</t>
  </si>
  <si>
    <t>NANK</t>
  </si>
  <si>
    <t>MAJORITY</t>
  </si>
  <si>
    <t>Catitru</t>
  </si>
  <si>
    <t>Qcy</t>
  </si>
  <si>
    <t>CellWorld</t>
  </si>
  <si>
    <t>Faderr</t>
  </si>
  <si>
    <t>iJiZuo</t>
  </si>
  <si>
    <t>Harman Kardon</t>
  </si>
  <si>
    <t>megacom</t>
  </si>
  <si>
    <t>Fiauli</t>
  </si>
  <si>
    <t>Joyo</t>
  </si>
  <si>
    <t>Nerunsa</t>
  </si>
  <si>
    <t>VNMN</t>
  </si>
  <si>
    <t>Giveet</t>
  </si>
  <si>
    <t>Boompods</t>
  </si>
  <si>
    <t>HOIFA</t>
  </si>
  <si>
    <t>jectse</t>
  </si>
  <si>
    <t>voijump</t>
  </si>
  <si>
    <t>AVIOX</t>
  </si>
  <si>
    <t>Boean</t>
  </si>
  <si>
    <t>Ohuhu</t>
  </si>
  <si>
    <t>Harry Potter</t>
  </si>
  <si>
    <t>RockBros</t>
  </si>
  <si>
    <t>Jpl</t>
  </si>
  <si>
    <t>Nabevi</t>
  </si>
  <si>
    <t>GiGreen</t>
  </si>
  <si>
    <t>Fdit</t>
  </si>
  <si>
    <t>kendir</t>
  </si>
  <si>
    <t>Jremreo</t>
  </si>
  <si>
    <t>EJEAS</t>
  </si>
  <si>
    <t>Orro</t>
  </si>
  <si>
    <t>LAMA</t>
  </si>
  <si>
    <t>Hosgubo</t>
  </si>
  <si>
    <t>thecoopidea</t>
  </si>
  <si>
    <t>Ocbuo</t>
  </si>
  <si>
    <t>COSMUSIS</t>
  </si>
  <si>
    <t>Positive Grid</t>
  </si>
  <si>
    <t>Neewer</t>
  </si>
  <si>
    <t>Trevi</t>
  </si>
  <si>
    <t>HIFI WALKER</t>
  </si>
  <si>
    <t>Roffatide</t>
  </si>
  <si>
    <t>HomeSpot</t>
  </si>
  <si>
    <t>glitzy gizmos</t>
  </si>
  <si>
    <t>Arama</t>
  </si>
  <si>
    <t>Sonew</t>
  </si>
  <si>
    <t>CASCHO</t>
  </si>
  <si>
    <t>HYS</t>
  </si>
  <si>
    <t>VANTIYAUS</t>
  </si>
  <si>
    <t>oraimo</t>
  </si>
  <si>
    <t>Lilgadgets</t>
  </si>
  <si>
    <t>cbggq</t>
  </si>
  <si>
    <t>CHEOTIME</t>
  </si>
  <si>
    <t>Thore</t>
  </si>
  <si>
    <t>mankiw</t>
  </si>
  <si>
    <t>ACOCOBUY</t>
  </si>
  <si>
    <t>Mondo</t>
  </si>
  <si>
    <t>VJK</t>
  </si>
  <si>
    <t>YUWAKAYI</t>
  </si>
  <si>
    <t>iJoy</t>
  </si>
  <si>
    <t>LMS</t>
  </si>
  <si>
    <t>Ng</t>
  </si>
  <si>
    <t>Kicoeon</t>
  </si>
  <si>
    <t>IKF</t>
  </si>
  <si>
    <t>Dutis</t>
  </si>
  <si>
    <t>Motost</t>
  </si>
  <si>
    <t>Kuuleyn</t>
  </si>
  <si>
    <t>Sonxtronic</t>
  </si>
  <si>
    <t>Smalody</t>
  </si>
  <si>
    <t>Masterplug</t>
  </si>
  <si>
    <t>kithouse</t>
  </si>
  <si>
    <t>BGJRBY</t>
  </si>
  <si>
    <t>British General</t>
  </si>
  <si>
    <t>Olympus</t>
  </si>
  <si>
    <t>RLSOCO</t>
  </si>
  <si>
    <t>Liphier</t>
  </si>
  <si>
    <t>Rumoon</t>
  </si>
  <si>
    <t>Gemini</t>
  </si>
  <si>
    <t>Far End Gear</t>
  </si>
  <si>
    <t>LINHUIPAD</t>
  </si>
  <si>
    <t>Hercules</t>
  </si>
  <si>
    <t>GLOGLOW</t>
  </si>
  <si>
    <t>arVin</t>
  </si>
  <si>
    <t>spinbot</t>
  </si>
  <si>
    <t>ANCwear</t>
  </si>
  <si>
    <t>MUSICOZY</t>
  </si>
  <si>
    <t>Hsility</t>
  </si>
  <si>
    <t>Vabaso</t>
  </si>
  <si>
    <t>PreSonus</t>
  </si>
  <si>
    <t>Soundlab</t>
  </si>
  <si>
    <t>Sub-Zero</t>
  </si>
  <si>
    <t>hoco.</t>
  </si>
  <si>
    <t>BSOMAM</t>
  </si>
  <si>
    <t>Yuio</t>
  </si>
  <si>
    <t>Fairphone</t>
  </si>
  <si>
    <t>Motorola Sound</t>
  </si>
  <si>
    <t>VuM</t>
  </si>
  <si>
    <t>Queen.Y</t>
  </si>
  <si>
    <t>SUNITEC</t>
  </si>
  <si>
    <t>Candy Bila</t>
  </si>
  <si>
    <t>Himank</t>
  </si>
  <si>
    <t>Elprico</t>
  </si>
  <si>
    <t>Sxhlseller</t>
  </si>
  <si>
    <t>Mackie</t>
  </si>
  <si>
    <t>Moreal</t>
  </si>
  <si>
    <t>Lekaby</t>
  </si>
  <si>
    <t>Gabby's Dollhouse</t>
  </si>
  <si>
    <t>KIDSBAND</t>
  </si>
  <si>
    <t>AAA ARAMA</t>
  </si>
  <si>
    <t>Coolden</t>
  </si>
  <si>
    <t>soundbot</t>
  </si>
  <si>
    <t>Vunake</t>
  </si>
  <si>
    <t>OTL</t>
  </si>
  <si>
    <t>VKROBAG</t>
  </si>
  <si>
    <t>Lazmin112</t>
  </si>
  <si>
    <t>YiYunTE</t>
  </si>
  <si>
    <t>KamKorda</t>
  </si>
  <si>
    <t>Okcsc</t>
  </si>
  <si>
    <t>Aoslen</t>
  </si>
  <si>
    <t>Oaxis</t>
  </si>
  <si>
    <t>POLVCDG</t>
  </si>
  <si>
    <t>Kanayu</t>
  </si>
  <si>
    <t>ANFLOWE</t>
  </si>
  <si>
    <t>ATTACK SHARK</t>
  </si>
  <si>
    <t>FAMOO</t>
  </si>
  <si>
    <t>erjigo</t>
  </si>
  <si>
    <t>AGM</t>
  </si>
  <si>
    <t>fasient</t>
  </si>
  <si>
    <t>ANCLLO</t>
  </si>
  <si>
    <t>RTUSIA</t>
  </si>
  <si>
    <t>T'nB</t>
  </si>
  <si>
    <t>bergxperten</t>
  </si>
  <si>
    <t>Yanmis</t>
  </si>
  <si>
    <t>sayrelances</t>
  </si>
  <si>
    <t>Takstar</t>
  </si>
  <si>
    <t>Doogee</t>
  </si>
  <si>
    <t>UleFone</t>
  </si>
  <si>
    <t>Statik</t>
  </si>
  <si>
    <t>Louise&amp;Mann</t>
  </si>
  <si>
    <t>XZC</t>
  </si>
  <si>
    <t>XANAD</t>
  </si>
  <si>
    <t>Unibond</t>
  </si>
  <si>
    <t>DEFUNC</t>
  </si>
  <si>
    <t>TONEMAC</t>
  </si>
  <si>
    <t>Funtuan</t>
  </si>
  <si>
    <t>MOVKZACV</t>
  </si>
  <si>
    <t>Bellroy</t>
  </si>
  <si>
    <t>URIZONS</t>
  </si>
  <si>
    <t>Tellur</t>
  </si>
  <si>
    <t>hollyland</t>
  </si>
  <si>
    <t>Wyness</t>
  </si>
  <si>
    <t>DCMEKA</t>
  </si>
  <si>
    <t>babblecom</t>
  </si>
  <si>
    <t>aquyy</t>
  </si>
  <si>
    <t>slub</t>
  </si>
  <si>
    <t>Pro Signal</t>
  </si>
  <si>
    <t>PORTENTUM</t>
  </si>
  <si>
    <t>raopingx</t>
  </si>
  <si>
    <t>SKIUDCT</t>
  </si>
  <si>
    <t>Stealth</t>
  </si>
  <si>
    <t>Mr. Gadget Solution&amp;reg;</t>
  </si>
  <si>
    <t>B&amp;O PLAY</t>
  </si>
  <si>
    <t>Encased</t>
  </si>
  <si>
    <t>Acefast</t>
  </si>
  <si>
    <t>Vbestlife</t>
  </si>
  <si>
    <t>GOWENIC</t>
  </si>
  <si>
    <t>Samson</t>
  </si>
  <si>
    <t>Rolling Square</t>
  </si>
  <si>
    <t>kinganda</t>
  </si>
  <si>
    <t>Socobeta</t>
  </si>
  <si>
    <t>Xtrons</t>
  </si>
  <si>
    <t>PChero</t>
  </si>
  <si>
    <t>YMOO</t>
  </si>
  <si>
    <t>MUCRO</t>
  </si>
  <si>
    <t>gkeapza</t>
  </si>
  <si>
    <t>GUUVOR</t>
  </si>
  <si>
    <t>Maxim</t>
  </si>
  <si>
    <t>Phantom Cables</t>
  </si>
  <si>
    <t>bakibo</t>
  </si>
  <si>
    <t>Easycat</t>
  </si>
  <si>
    <t>Maxquall</t>
  </si>
  <si>
    <t>NUBWO</t>
  </si>
  <si>
    <t>Elzle</t>
  </si>
  <si>
    <t>Geroosaty</t>
  </si>
  <si>
    <t>Nurati</t>
  </si>
  <si>
    <t>Sidpro</t>
  </si>
  <si>
    <t>Kwmobile</t>
  </si>
  <si>
    <t>Swimbuds</t>
  </si>
  <si>
    <t>Cyboris</t>
  </si>
  <si>
    <t>Fsjun</t>
  </si>
  <si>
    <t>MSHUKCOE</t>
  </si>
  <si>
    <t>ENJOY-UNIQUE</t>
  </si>
  <si>
    <t>Radiacode</t>
  </si>
  <si>
    <t>lekato</t>
  </si>
  <si>
    <t>SpinFit</t>
  </si>
  <si>
    <t>ASHATA</t>
  </si>
  <si>
    <t>HOVUK</t>
  </si>
  <si>
    <t>AZLA</t>
  </si>
  <si>
    <t>Plyisty</t>
  </si>
  <si>
    <t>MOZC</t>
  </si>
  <si>
    <t>GAMURRY</t>
  </si>
  <si>
    <t>Garsent</t>
  </si>
  <si>
    <t>YTDTKJ</t>
  </si>
  <si>
    <t>MENDUNER</t>
  </si>
  <si>
    <t>Retevis</t>
  </si>
  <si>
    <t>ElloGear</t>
  </si>
  <si>
    <t>Kensington</t>
  </si>
  <si>
    <t>VkingMoR</t>
  </si>
  <si>
    <t>Native Union</t>
  </si>
  <si>
    <t>Spectra</t>
  </si>
  <si>
    <t>Doubc</t>
  </si>
  <si>
    <t>myFirst</t>
  </si>
  <si>
    <t>lyyt</t>
  </si>
  <si>
    <t>Meliya</t>
  </si>
  <si>
    <t>Generico</t>
  </si>
  <si>
    <t>Bewinner</t>
  </si>
  <si>
    <t>Superlux</t>
  </si>
  <si>
    <t>Docooler</t>
  </si>
  <si>
    <t>Spigen</t>
  </si>
  <si>
    <t>Goshyda</t>
  </si>
  <si>
    <t>Kenable</t>
  </si>
  <si>
    <t>XIAOWTEK</t>
  </si>
  <si>
    <t>JTMM</t>
  </si>
  <si>
    <t>LEUFISO</t>
  </si>
  <si>
    <t>SonRu</t>
  </si>
  <si>
    <t>APETOO</t>
  </si>
  <si>
    <t>Rhinocables</t>
  </si>
  <si>
    <t>GoNovate</t>
  </si>
  <si>
    <t>RS Traders</t>
  </si>
  <si>
    <t>SUNSEATON</t>
  </si>
  <si>
    <t>blueear</t>
  </si>
  <si>
    <t>PDP</t>
  </si>
  <si>
    <t>1STec</t>
  </si>
  <si>
    <t>Annadue</t>
  </si>
  <si>
    <t>V7</t>
  </si>
  <si>
    <t>wgo</t>
  </si>
  <si>
    <t>Joso</t>
  </si>
  <si>
    <t>Sirius</t>
  </si>
  <si>
    <t>KZ</t>
  </si>
  <si>
    <t>Klim</t>
  </si>
  <si>
    <t>Yunir</t>
  </si>
  <si>
    <t>AILKIN</t>
  </si>
  <si>
    <t>Reulin</t>
  </si>
  <si>
    <t>COOFINE</t>
  </si>
  <si>
    <t>Mixx Audio</t>
  </si>
  <si>
    <t>BIGGERFIVE</t>
  </si>
  <si>
    <t>cellhelmet</t>
  </si>
  <si>
    <t>Wild Republic</t>
  </si>
  <si>
    <t>Maxrock</t>
  </si>
  <si>
    <t>Miskall</t>
  </si>
  <si>
    <t>Miimall</t>
  </si>
  <si>
    <t>DuKabel</t>
  </si>
  <si>
    <t>GIOPUEY</t>
  </si>
  <si>
    <t>Enyolidimk</t>
  </si>
  <si>
    <t>HOMSFOU</t>
  </si>
  <si>
    <t>Konix</t>
  </si>
  <si>
    <t>YHO</t>
  </si>
  <si>
    <t>Cryfokt</t>
  </si>
  <si>
    <t>gushe</t>
  </si>
  <si>
    <t>YUYQAQ</t>
  </si>
  <si>
    <t>AUTUUCKEE</t>
  </si>
  <si>
    <t>Decibullz</t>
  </si>
  <si>
    <t>Lively Life</t>
  </si>
  <si>
    <t>Hemobllo</t>
  </si>
  <si>
    <t>Superman</t>
  </si>
  <si>
    <t>Ceppekyy</t>
  </si>
  <si>
    <t>DONGKER</t>
  </si>
  <si>
    <t>hsthe sea</t>
  </si>
  <si>
    <t>Accessory House</t>
  </si>
  <si>
    <t>Lamkrtlp</t>
  </si>
  <si>
    <t>The VoIP Lounge</t>
  </si>
  <si>
    <t>Fineblue</t>
  </si>
  <si>
    <t>Realm</t>
  </si>
  <si>
    <t>Smof</t>
  </si>
  <si>
    <t>tronicxl</t>
  </si>
  <si>
    <t>Motorola Lifestyle</t>
  </si>
  <si>
    <t>itayak</t>
  </si>
  <si>
    <t>Yomuse</t>
  </si>
  <si>
    <t>Ccylez</t>
  </si>
  <si>
    <t>YNIBST</t>
  </si>
  <si>
    <t>Mr Gadget Solutions</t>
  </si>
  <si>
    <t>oeing</t>
  </si>
  <si>
    <t>Ibis Cable</t>
  </si>
  <si>
    <t>Xawy</t>
  </si>
  <si>
    <t>BeeBang</t>
  </si>
  <si>
    <t>Manolyee</t>
  </si>
  <si>
    <t>SWSTINLING</t>
  </si>
  <si>
    <t>HshDUti</t>
  </si>
  <si>
    <t>Biseoamz</t>
  </si>
  <si>
    <t>Friencity</t>
  </si>
  <si>
    <t>MQQC</t>
  </si>
  <si>
    <t>Carviki</t>
  </si>
  <si>
    <t>XLSFPY</t>
  </si>
  <si>
    <t>Miserwe</t>
  </si>
  <si>
    <t>CozyPhones</t>
  </si>
  <si>
    <t>La Perruche</t>
  </si>
  <si>
    <t>LC-dolida</t>
  </si>
  <si>
    <t>FosPower</t>
  </si>
  <si>
    <t>Trendi Switch</t>
  </si>
  <si>
    <t>Ostent</t>
  </si>
  <si>
    <t>Yilear</t>
  </si>
  <si>
    <t>TRIXES</t>
  </si>
  <si>
    <t>ZOMBIES CAT</t>
  </si>
  <si>
    <t>Sorandy</t>
  </si>
  <si>
    <t>BT</t>
  </si>
  <si>
    <t>Go Travel</t>
  </si>
  <si>
    <t>Philex</t>
  </si>
  <si>
    <t>sourcing map</t>
  </si>
  <si>
    <t>Zerone</t>
  </si>
  <si>
    <t>Hoxe</t>
  </si>
  <si>
    <t>TheTransporter</t>
  </si>
  <si>
    <t>okun</t>
  </si>
  <si>
    <t>EZ EAR</t>
  </si>
  <si>
    <t>Cuifati</t>
  </si>
  <si>
    <t>Ejoyous</t>
  </si>
  <si>
    <t>Silriku</t>
  </si>
  <si>
    <t>Ieron</t>
  </si>
  <si>
    <t>Lotvic</t>
  </si>
  <si>
    <t>Adhiper</t>
  </si>
  <si>
    <t>Frcolor</t>
  </si>
  <si>
    <t>Mr.Gadget's Solutions</t>
  </si>
  <si>
    <t>Handset Solutions</t>
  </si>
  <si>
    <t>SpirWoRchlan</t>
  </si>
  <si>
    <t>HoveeLuty</t>
  </si>
  <si>
    <t>Loops</t>
  </si>
  <si>
    <t>Nokia</t>
  </si>
  <si>
    <t>tosuny</t>
  </si>
  <si>
    <t>EMSea</t>
  </si>
  <si>
    <t>SHERCHPRY</t>
  </si>
  <si>
    <t>QILERUI</t>
  </si>
  <si>
    <t>Auelek</t>
  </si>
  <si>
    <t>Sol Republic</t>
  </si>
  <si>
    <t>Herfair</t>
  </si>
  <si>
    <t>Tiardey</t>
  </si>
  <si>
    <t>MIDOLA</t>
  </si>
  <si>
    <t>Kenwood</t>
  </si>
  <si>
    <t>Povdite</t>
  </si>
  <si>
    <t>Luckky</t>
  </si>
  <si>
    <t>Yctze</t>
  </si>
  <si>
    <t>Maplin</t>
  </si>
  <si>
    <t>JADESHAY</t>
  </si>
  <si>
    <t>BESNOOW</t>
  </si>
  <si>
    <t>moson</t>
  </si>
  <si>
    <t>jlab audio</t>
  </si>
  <si>
    <t>LLM</t>
  </si>
  <si>
    <t>NinTaBro</t>
  </si>
  <si>
    <t>zalati</t>
  </si>
  <si>
    <t>PRO-ELEC</t>
  </si>
  <si>
    <t>SEWACC</t>
  </si>
  <si>
    <t>TSHAOUN</t>
  </si>
  <si>
    <t>yinhing</t>
  </si>
  <si>
    <t>Kodak</t>
  </si>
  <si>
    <t>Quilted Northern</t>
  </si>
  <si>
    <t>Fengbao</t>
  </si>
  <si>
    <t>YingStar</t>
  </si>
  <si>
    <t>BEIIEB</t>
  </si>
  <si>
    <t>NoveltyThunder</t>
  </si>
  <si>
    <t>BOSONS</t>
  </si>
  <si>
    <t>Fyearfly</t>
  </si>
  <si>
    <t>Manhattan</t>
  </si>
  <si>
    <t>ConnectingU</t>
  </si>
  <si>
    <t>Bitmore</t>
  </si>
  <si>
    <t>IN</t>
  </si>
  <si>
    <t>Seminer</t>
  </si>
  <si>
    <t>Ocobudbxw</t>
  </si>
  <si>
    <t>ELLU</t>
  </si>
  <si>
    <t>TheMax</t>
  </si>
  <si>
    <t>Mr. Gadget's Solutions</t>
  </si>
  <si>
    <t>PATIKIL</t>
  </si>
  <si>
    <t>Avejjbaey</t>
  </si>
  <si>
    <t>zoyuzan</t>
  </si>
  <si>
    <t>QEEQPF</t>
  </si>
  <si>
    <t>Amazon</t>
  </si>
  <si>
    <t>hanmer</t>
  </si>
  <si>
    <t>TFD Supplies</t>
  </si>
  <si>
    <t>Anytrox</t>
  </si>
  <si>
    <t>hkbtch</t>
  </si>
  <si>
    <t>Maeline</t>
  </si>
  <si>
    <t>CAMPFIRE AUDIO</t>
  </si>
  <si>
    <t>Lrecat</t>
  </si>
  <si>
    <t>Ttkgyoe</t>
  </si>
  <si>
    <t>Master and Dynamic</t>
  </si>
  <si>
    <t>Seseno</t>
  </si>
  <si>
    <t>MAKEMATE</t>
  </si>
  <si>
    <t>Nicoone</t>
  </si>
  <si>
    <t>Dewenwils</t>
  </si>
  <si>
    <t>TAGRY</t>
  </si>
  <si>
    <t>Zenitech</t>
  </si>
  <si>
    <t>Fuxury</t>
  </si>
  <si>
    <t>Insta360</t>
  </si>
  <si>
    <t>Barks</t>
  </si>
  <si>
    <t>Krysenix</t>
  </si>
  <si>
    <t>Qimic</t>
  </si>
  <si>
    <t>Lupo</t>
  </si>
  <si>
    <t>MEDca</t>
  </si>
  <si>
    <t>JayBird</t>
  </si>
  <si>
    <t>COXZD</t>
  </si>
  <si>
    <t>Glracd</t>
  </si>
  <si>
    <t>e t easytao</t>
  </si>
  <si>
    <t>Zihnic</t>
  </si>
  <si>
    <t>Samsung/AKG</t>
  </si>
  <si>
    <t>Black shark</t>
  </si>
  <si>
    <t>Aune</t>
  </si>
  <si>
    <t>IT7 Audio</t>
  </si>
  <si>
    <t>Pander</t>
  </si>
  <si>
    <t>Eono</t>
  </si>
  <si>
    <t>TADPOLE</t>
  </si>
  <si>
    <t>ZICOTO</t>
  </si>
  <si>
    <t>intelbras</t>
  </si>
  <si>
    <t>Yunsailing</t>
  </si>
  <si>
    <t>QCOQ</t>
  </si>
  <si>
    <t>Kupro</t>
  </si>
  <si>
    <t>Damipow</t>
  </si>
  <si>
    <t>Britzgo</t>
  </si>
  <si>
    <t>Multibao</t>
  </si>
  <si>
    <t>Wasart</t>
  </si>
  <si>
    <t>PROHEAR</t>
  </si>
  <si>
    <t>Bestgot</t>
  </si>
  <si>
    <t>Panera</t>
  </si>
  <si>
    <t>Groove</t>
  </si>
  <si>
    <t>cleer</t>
  </si>
  <si>
    <t>Cardo Systems</t>
  </si>
  <si>
    <t>CAPOXO</t>
  </si>
  <si>
    <t>L LTGEM</t>
  </si>
  <si>
    <t>BHNYBWUL</t>
  </si>
  <si>
    <t>SZHTFX</t>
  </si>
  <si>
    <t>LEVN</t>
  </si>
  <si>
    <t>OsCal</t>
  </si>
  <si>
    <t>Gcioii</t>
  </si>
  <si>
    <t>fojep</t>
  </si>
  <si>
    <t>Swetfela</t>
  </si>
  <si>
    <t>prtukyt</t>
  </si>
  <si>
    <t>Alpine</t>
  </si>
  <si>
    <t>Eissix</t>
  </si>
  <si>
    <t>ThrustMaster</t>
  </si>
  <si>
    <t>NuForce</t>
  </si>
  <si>
    <t>Zeadio</t>
  </si>
  <si>
    <t>ZAPIG</t>
  </si>
  <si>
    <t>Camecho</t>
  </si>
  <si>
    <t>KASOTT</t>
  </si>
  <si>
    <t>Newin Star</t>
  </si>
  <si>
    <t>zakotu</t>
  </si>
  <si>
    <t>EDIMAEG</t>
  </si>
  <si>
    <t>Galaxy Products</t>
  </si>
  <si>
    <t>uplayteck</t>
  </si>
  <si>
    <t>VANIR</t>
  </si>
  <si>
    <t>Tarion</t>
  </si>
  <si>
    <t>Falebare</t>
  </si>
  <si>
    <t>CYBERDOT</t>
  </si>
  <si>
    <t>Tianfucen</t>
  </si>
  <si>
    <t>Kef</t>
  </si>
  <si>
    <t>Wyze</t>
  </si>
  <si>
    <t>ASKUBSKU</t>
  </si>
  <si>
    <t>Langsdom</t>
  </si>
  <si>
    <t>YOWU</t>
  </si>
  <si>
    <t>QIIZCP</t>
  </si>
  <si>
    <t>Kuaguozhe</t>
  </si>
  <si>
    <t>Underwater Audio</t>
  </si>
  <si>
    <t>Trongle</t>
  </si>
  <si>
    <t>Aolso</t>
  </si>
  <si>
    <t>C2G</t>
  </si>
  <si>
    <t>Vieta Pro</t>
  </si>
  <si>
    <t>LucaSng</t>
  </si>
  <si>
    <t>Airvoice</t>
  </si>
  <si>
    <t>Lululeague</t>
  </si>
  <si>
    <t>Konohan</t>
  </si>
  <si>
    <t>ZTOZ</t>
  </si>
  <si>
    <t>Blackview</t>
  </si>
  <si>
    <t>iDiskk</t>
  </si>
  <si>
    <t>BlitzMax</t>
  </si>
  <si>
    <t>TITACUTE</t>
  </si>
  <si>
    <t>wye</t>
  </si>
  <si>
    <t>Donner</t>
  </si>
  <si>
    <t>Westone</t>
  </si>
  <si>
    <t>BINNUNE</t>
  </si>
  <si>
    <t>Famedy</t>
  </si>
  <si>
    <t>Hiby</t>
  </si>
  <si>
    <t>Thomson</t>
  </si>
  <si>
    <t>DTREELS</t>
  </si>
  <si>
    <t>Gorsun</t>
  </si>
  <si>
    <t>Monster</t>
  </si>
  <si>
    <t>Denver</t>
  </si>
  <si>
    <t>reeyear</t>
  </si>
  <si>
    <t>VEENAX</t>
  </si>
  <si>
    <t>Pusokei</t>
  </si>
  <si>
    <t>Camidy</t>
  </si>
  <si>
    <t>Goodmans</t>
  </si>
  <si>
    <t>Marvel</t>
  </si>
  <si>
    <t>Etrigger</t>
  </si>
  <si>
    <t>OneNine</t>
  </si>
  <si>
    <t>Redskypower</t>
  </si>
  <si>
    <t>Attikee</t>
  </si>
  <si>
    <t>Werckmann</t>
  </si>
  <si>
    <t>SP Silicon Power</t>
  </si>
  <si>
    <t>Yunseity</t>
  </si>
  <si>
    <t>FOYCOY</t>
  </si>
  <si>
    <t>Kaxifei</t>
  </si>
  <si>
    <t>Harris</t>
  </si>
  <si>
    <t>Sleepphones</t>
  </si>
  <si>
    <t>Astell &amp; Kern</t>
  </si>
  <si>
    <t>Sonitum</t>
  </si>
  <si>
    <t>ciciglow</t>
  </si>
  <si>
    <t>huifu</t>
  </si>
  <si>
    <t>Krk</t>
  </si>
  <si>
    <t>Fotoleey</t>
  </si>
  <si>
    <t>Braven</t>
  </si>
  <si>
    <t>DefenderShield</t>
  </si>
  <si>
    <t>Avalle</t>
  </si>
  <si>
    <t>VINYL</t>
  </si>
  <si>
    <t>Sena Technologies</t>
  </si>
  <si>
    <t>Tascam</t>
  </si>
  <si>
    <t>Forever</t>
  </si>
  <si>
    <t>Galirity</t>
  </si>
  <si>
    <t>Esperanza</t>
  </si>
  <si>
    <t>akozon</t>
  </si>
  <si>
    <t>ProCase</t>
  </si>
  <si>
    <t>Dascert</t>
  </si>
  <si>
    <t>Somic</t>
  </si>
  <si>
    <t>YCTECH</t>
  </si>
  <si>
    <t>AMAZKER</t>
  </si>
  <si>
    <t>essa</t>
  </si>
  <si>
    <t>GOOJODOQ</t>
  </si>
  <si>
    <t>Wisezone</t>
  </si>
  <si>
    <t>Gsangoo</t>
  </si>
  <si>
    <t>GumDrop</t>
  </si>
  <si>
    <t>SVYHUOK</t>
  </si>
  <si>
    <t>Soicear</t>
  </si>
  <si>
    <t>Bigben</t>
  </si>
  <si>
    <t>CREHAO</t>
  </si>
  <si>
    <t>Kitvision</t>
  </si>
  <si>
    <t>TECHMADE</t>
  </si>
  <si>
    <t>Gigaset</t>
  </si>
  <si>
    <t>XBC Tech</t>
  </si>
  <si>
    <t>Co2Crea</t>
  </si>
  <si>
    <t>gvtech</t>
  </si>
  <si>
    <t>Kazumi</t>
  </si>
  <si>
    <t>WHYKJTEK</t>
  </si>
  <si>
    <t>Roujune</t>
  </si>
  <si>
    <t>DigiKuber</t>
  </si>
  <si>
    <t>NUPLEA</t>
  </si>
  <si>
    <t>WISEPRIMATE</t>
  </si>
  <si>
    <t>Hermitshell</t>
  </si>
  <si>
    <t>Regeneren Plus</t>
  </si>
  <si>
    <t>Eboxer</t>
  </si>
  <si>
    <t>Qsnailfrr</t>
  </si>
  <si>
    <t>UCGOU</t>
  </si>
  <si>
    <t>Squishmallow</t>
  </si>
  <si>
    <t>Plugfones</t>
  </si>
  <si>
    <t>Astro</t>
  </si>
  <si>
    <t>Evolve</t>
  </si>
  <si>
    <t>lazmin</t>
  </si>
  <si>
    <t>Jingfeng</t>
  </si>
  <si>
    <t>Yuanj</t>
  </si>
  <si>
    <t>House of Marley</t>
  </si>
  <si>
    <t>Emotal</t>
  </si>
  <si>
    <t>Batman</t>
  </si>
  <si>
    <t>MHtech</t>
  </si>
  <si>
    <t>WXY</t>
  </si>
  <si>
    <t>Uomeod</t>
  </si>
  <si>
    <t>SWMIUSK</t>
  </si>
  <si>
    <t>Lisciani</t>
  </si>
  <si>
    <t>Tbest</t>
  </si>
  <si>
    <t>eKids</t>
  </si>
  <si>
    <t>ELECDER</t>
  </si>
  <si>
    <t>Amoner</t>
  </si>
  <si>
    <t>LZYDD</t>
  </si>
  <si>
    <t>SPACE solution</t>
  </si>
  <si>
    <t>XEEUEX</t>
  </si>
  <si>
    <t>SERVOMASTER</t>
  </si>
  <si>
    <t>Uvex</t>
  </si>
  <si>
    <t>TecTecTec</t>
  </si>
  <si>
    <t>Cotop</t>
  </si>
  <si>
    <t>menon</t>
  </si>
  <si>
    <t>GRIFEMA</t>
  </si>
  <si>
    <t>phen</t>
  </si>
  <si>
    <t>Agent</t>
  </si>
  <si>
    <t>redzoo</t>
  </si>
  <si>
    <t>BUDI</t>
  </si>
  <si>
    <t>NIZIYI</t>
  </si>
  <si>
    <t>Tomorsi</t>
  </si>
  <si>
    <t>GIONAR</t>
  </si>
  <si>
    <t>Garrett</t>
  </si>
  <si>
    <t>Veho</t>
  </si>
  <si>
    <t>Uposao</t>
  </si>
  <si>
    <t>Shani</t>
  </si>
  <si>
    <t>JTONG</t>
  </si>
  <si>
    <t>WMLBK</t>
  </si>
  <si>
    <t>VEC ELECTRONICS</t>
  </si>
  <si>
    <t>Oversteel</t>
  </si>
  <si>
    <t>Ururtm</t>
  </si>
  <si>
    <t>Vincente</t>
  </si>
  <si>
    <t>GNMN</t>
  </si>
  <si>
    <t>Qosea</t>
  </si>
  <si>
    <t>Digital Tec</t>
  </si>
  <si>
    <t>ZIUMIER</t>
  </si>
  <si>
    <t>Cliplanyard</t>
  </si>
  <si>
    <t>Gazechimp</t>
  </si>
  <si>
    <t>CCHKFEI</t>
  </si>
  <si>
    <t>Hoopond</t>
  </si>
  <si>
    <t>uonlytech</t>
  </si>
  <si>
    <t>Andoer</t>
  </si>
  <si>
    <t>Tronsmart</t>
  </si>
  <si>
    <t>Dpofirs</t>
  </si>
  <si>
    <t>Sundely</t>
  </si>
  <si>
    <t>SIMJAR</t>
  </si>
  <si>
    <t>MagiDeal</t>
  </si>
  <si>
    <t>Qaekie</t>
  </si>
  <si>
    <t>UrbanX</t>
  </si>
  <si>
    <t>AFXMATE</t>
  </si>
  <si>
    <t>QWERDF</t>
  </si>
  <si>
    <t>KKPLZZ</t>
  </si>
  <si>
    <t>Estink</t>
  </si>
  <si>
    <t>Uvital</t>
  </si>
  <si>
    <t>Qinghengyong</t>
  </si>
  <si>
    <t>Mobitek</t>
  </si>
  <si>
    <t>TP-Link</t>
  </si>
  <si>
    <t>Zoetec</t>
  </si>
  <si>
    <t>Retoo</t>
  </si>
  <si>
    <t>Coloud</t>
  </si>
  <si>
    <t>Cubilux</t>
  </si>
  <si>
    <t>Shanrya</t>
  </si>
  <si>
    <t>TCJJ</t>
  </si>
  <si>
    <t>Northcore</t>
  </si>
  <si>
    <t>TPfocus</t>
  </si>
  <si>
    <t>Tec-Digi</t>
  </si>
  <si>
    <t>KIMISS</t>
  </si>
  <si>
    <t>BYFRI</t>
  </si>
  <si>
    <t>SUNGOOYUE</t>
  </si>
  <si>
    <t>Khanka</t>
  </si>
  <si>
    <t>Soonhua</t>
  </si>
  <si>
    <t>Good01</t>
  </si>
  <si>
    <t>aifeimei</t>
  </si>
  <si>
    <t>Midland</t>
  </si>
  <si>
    <t>BJ</t>
  </si>
  <si>
    <t>HP</t>
  </si>
  <si>
    <t>PocBuds</t>
  </si>
  <si>
    <t>Biensound</t>
  </si>
  <si>
    <t>hakeeta</t>
  </si>
  <si>
    <t>Grundig</t>
  </si>
  <si>
    <t>OBEST</t>
  </si>
  <si>
    <t>tangxi</t>
  </si>
  <si>
    <t>Omivine</t>
  </si>
  <si>
    <t>gzlmmy</t>
  </si>
  <si>
    <t>HBlife</t>
  </si>
  <si>
    <t>Walker and Hawkes</t>
  </si>
  <si>
    <t>Victoper</t>
  </si>
  <si>
    <t>Zunate</t>
  </si>
  <si>
    <t>New Era</t>
  </si>
  <si>
    <t>SUYEE</t>
  </si>
  <si>
    <t>EUPSIIU</t>
  </si>
  <si>
    <t>JCKEL</t>
  </si>
  <si>
    <t>eMagTech</t>
  </si>
  <si>
    <t>QSPORTPEAK</t>
  </si>
  <si>
    <t>UMIDIGI</t>
  </si>
  <si>
    <t>S&amp;M</t>
  </si>
  <si>
    <t>Tenlacum</t>
  </si>
  <si>
    <t>Fairtex</t>
  </si>
  <si>
    <t>Openreach</t>
  </si>
  <si>
    <t>iBesi</t>
  </si>
  <si>
    <t>iTek</t>
  </si>
  <si>
    <t>iplusmile</t>
  </si>
  <si>
    <t>iSeventy9</t>
  </si>
  <si>
    <t>Sony and iSoul</t>
  </si>
  <si>
    <t>tooloflife</t>
  </si>
  <si>
    <t>X AUTOHAUX</t>
  </si>
  <si>
    <t>UKCOCO</t>
  </si>
  <si>
    <t>Electrovision</t>
  </si>
  <si>
    <t>SKYEOL</t>
  </si>
  <si>
    <t>FONCBIEN</t>
  </si>
  <si>
    <t>XiHAMA</t>
  </si>
  <si>
    <t>luakesa</t>
  </si>
  <si>
    <t>Zomo</t>
  </si>
  <si>
    <t>GUBEE</t>
  </si>
  <si>
    <t>Optimal Products</t>
  </si>
  <si>
    <t>01</t>
  </si>
  <si>
    <t>LIKE SHOW</t>
  </si>
  <si>
    <t>Wendry</t>
  </si>
  <si>
    <t>Headerbs</t>
  </si>
  <si>
    <t>Fulltime E-Gadget</t>
  </si>
  <si>
    <t>Tagvo</t>
  </si>
  <si>
    <t>PZOZ</t>
  </si>
  <si>
    <t>TY-UNLESS</t>
  </si>
  <si>
    <t>Sharplace</t>
  </si>
  <si>
    <t>generisch</t>
  </si>
  <si>
    <t>QUNREDA</t>
  </si>
  <si>
    <t>Trintion</t>
  </si>
  <si>
    <t>Cablecon</t>
  </si>
  <si>
    <t>Etseinri</t>
  </si>
  <si>
    <t>Hands DIY</t>
  </si>
  <si>
    <t>INF</t>
  </si>
  <si>
    <t>Puersit</t>
  </si>
  <si>
    <t>SENCU</t>
  </si>
  <si>
    <t>Sanfant</t>
  </si>
  <si>
    <t>Vivo Technologies</t>
  </si>
  <si>
    <t>Vizgifin</t>
  </si>
  <si>
    <t>Aimoh</t>
  </si>
  <si>
    <t>GWAWG</t>
  </si>
  <si>
    <t>hipipooo</t>
  </si>
  <si>
    <t>Bluelans</t>
  </si>
  <si>
    <t>YOLLO</t>
  </si>
  <si>
    <t>KDO 3D</t>
  </si>
  <si>
    <t>Alcatel</t>
  </si>
  <si>
    <t>CHENRI</t>
  </si>
  <si>
    <t>Mercury</t>
  </si>
  <si>
    <t>Mugast</t>
  </si>
  <si>
    <t>Hikaka</t>
  </si>
  <si>
    <t>BLOOOK</t>
  </si>
  <si>
    <t>Thumbs Up</t>
  </si>
  <si>
    <t>Zagzog</t>
  </si>
  <si>
    <t>Tiiyee</t>
  </si>
  <si>
    <t>MASOMRUN</t>
  </si>
  <si>
    <t>CellJoy</t>
  </si>
  <si>
    <t>FTVOGUE</t>
  </si>
  <si>
    <t>Brussels08</t>
  </si>
  <si>
    <t>OTOTEC</t>
  </si>
  <si>
    <t>JJN</t>
  </si>
  <si>
    <t>SquarezhenBo</t>
  </si>
  <si>
    <t>VooGenzek</t>
  </si>
  <si>
    <t>AZATOM®</t>
  </si>
  <si>
    <t>World of Data</t>
  </si>
  <si>
    <t>lawa</t>
  </si>
  <si>
    <t>Vault 101 Limited</t>
  </si>
  <si>
    <t>Pressac</t>
  </si>
  <si>
    <t>brussel</t>
  </si>
  <si>
    <t>计算说明</t>
  </si>
  <si>
    <t>数据源</t>
  </si>
  <si>
    <t>大盘源数据 (65).xlsx / 大盘源数据 sheet</t>
  </si>
  <si>
    <t>过滤口径</t>
  </si>
  <si>
    <t>Week Ending in (2025-07-12, 2026-06-27); Country字段按源数据保留，实际匹配行数：2025-07-12=6603，2026-06-27=5821。</t>
  </si>
  <si>
    <t>25PD定义</t>
  </si>
  <si>
    <t>week ending 2025-07-12</t>
  </si>
  <si>
    <t>26PD定义</t>
  </si>
  <si>
    <t>week ending 2026-06-27</t>
  </si>
  <si>
    <t>销售额指标</t>
  </si>
  <si>
    <t>Retail Sales</t>
  </si>
  <si>
    <t>市占计算</t>
  </si>
  <si>
    <t>品牌当周 Retail Sales / 当周全市场 Retail Sales</t>
  </si>
  <si>
    <t>YOY计算</t>
  </si>
  <si>
    <t>26PD Retail Sales / 25PD Retail Sales - 1</t>
  </si>
  <si>
    <t>25PD全市场Retail Sales</t>
  </si>
  <si>
    <t>19,359,778</t>
  </si>
  <si>
    <t>26PD全市场Retail Sales</t>
  </si>
  <si>
    <t>16,554,495</t>
  </si>
  <si>
    <t>全市场YOY</t>
  </si>
  <si>
    <t>-14.5%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</si>
</sst>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&quot;£&quot;#,##0;[Red]\(&quot;£&quot;#,##0\)"/>
  </numFmts>
  <fonts count="51">
    <font>
      <sz val="11"/>
      <color theme="1"/>
      <name val="宋体"/>
      <charset val="134"/>
      <scheme val="minor"/>
    </font>
    <font>
      <b/>
      <sz val="16"/>
      <color rgb="FF2F3A45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5B6770"/>
      <name val="宋体"/>
      <charset val="134"/>
      <scheme val="minor"/>
    </font>
    <font>
      <sz val="10"/>
      <color rgb="FF00B050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FE0300"/>
      <name val="Arial"/>
      <charset val="134"/>
    </font>
    <font>
      <sz val="10"/>
      <color rgb="FF000000"/>
      <name val="Arial"/>
      <charset val="134"/>
    </font>
    <font>
      <b/>
      <sz val="10"/>
      <color rgb="FF00B050"/>
      <name val="Arial"/>
      <charset val="134"/>
    </font>
    <font>
      <b/>
      <sz val="11"/>
      <color theme="1"/>
      <name val="Carlito"/>
      <charset val="134"/>
    </font>
    <font>
      <sz val="11"/>
      <color theme="1"/>
      <name val="Carlito"/>
      <charset val="134"/>
    </font>
    <font>
      <b/>
      <sz val="14"/>
      <color rgb="FF1F2937"/>
      <name val="Carlito"/>
      <charset val="134"/>
    </font>
    <font>
      <b/>
      <sz val="11"/>
      <color rgb="FF111827"/>
      <name val="Carlito"/>
      <charset val="134"/>
    </font>
    <font>
      <sz val="11"/>
      <color rgb="FFFF0000"/>
      <name val="Carlito"/>
      <charset val="134"/>
    </font>
    <font>
      <sz val="11"/>
      <color rgb="FF00A65A"/>
      <name val="Carlito"/>
      <charset val="134"/>
    </font>
    <font>
      <b/>
      <sz val="14"/>
      <color theme="1"/>
      <name val="Carlito"/>
      <charset val="134"/>
    </font>
    <font>
      <sz val="11"/>
      <color rgb="FF00B050"/>
      <name val="Carlito"/>
      <charset val="134"/>
    </font>
    <font>
      <b/>
      <sz val="11"/>
      <color rgb="FFFFFFFF"/>
      <name val="Carlito"/>
      <charset val="134"/>
    </font>
    <font>
      <b/>
      <sz val="14"/>
      <color theme="1"/>
      <name val="Microsoft YaHei"/>
      <charset val="134"/>
    </font>
    <font>
      <b/>
      <sz val="11"/>
      <color theme="1"/>
      <name val="Microsoft YaHei"/>
      <charset val="134"/>
    </font>
    <font>
      <sz val="11"/>
      <color theme="1"/>
      <name val="Microsoft YaHei"/>
      <charset val="134"/>
    </font>
    <font>
      <sz val="11"/>
      <name val="Carlito"/>
      <charset val="134"/>
    </font>
    <font>
      <b/>
      <sz val="16"/>
      <color rgb="FF1F2937"/>
      <name val="Carlito"/>
      <charset val="134"/>
    </font>
    <font>
      <sz val="10"/>
      <color rgb="FF666666"/>
      <name val="Carlito"/>
      <charset val="134"/>
    </font>
    <font>
      <b/>
      <sz val="11"/>
      <name val="Carlito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F4B183"/>
      </left>
      <right style="thin">
        <color rgb="FFF4B183"/>
      </right>
      <top style="thin">
        <color rgb="FFF4B183"/>
      </top>
      <bottom style="thin">
        <color rgb="FFF4B183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12" borderId="11" applyNumberFormat="0" applyAlignment="0" applyProtection="0">
      <alignment vertical="center"/>
    </xf>
    <xf numFmtId="0" fontId="41" fillId="9" borderId="12" applyNumberFormat="0" applyAlignment="0" applyProtection="0">
      <alignment vertical="center"/>
    </xf>
    <xf numFmtId="0" fontId="42" fillId="9" borderId="11" applyNumberFormat="0" applyAlignment="0" applyProtection="0">
      <alignment vertical="center"/>
    </xf>
    <xf numFmtId="0" fontId="43" fillId="13" borderId="13" applyNumberFormat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0" fillId="3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26" fillId="0" borderId="0"/>
  </cellStyleXfs>
  <cellXfs count="8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4" fillId="0" borderId="0" xfId="0" applyFont="1"/>
    <xf numFmtId="3" fontId="3" fillId="0" borderId="2" xfId="0" applyNumberFormat="1" applyFont="1" applyBorder="1"/>
    <xf numFmtId="10" fontId="3" fillId="0" borderId="2" xfId="0" applyNumberFormat="1" applyFont="1" applyBorder="1"/>
    <xf numFmtId="176" fontId="5" fillId="0" borderId="2" xfId="0" applyNumberFormat="1" applyFont="1" applyBorder="1"/>
    <xf numFmtId="176" fontId="6" fillId="0" borderId="2" xfId="0" applyNumberFormat="1" applyFont="1" applyBorder="1"/>
    <xf numFmtId="0" fontId="2" fillId="3" borderId="3" xfId="0" applyFont="1" applyFill="1" applyBorder="1" applyAlignment="1">
      <alignment horizontal="center" vertical="center"/>
    </xf>
    <xf numFmtId="3" fontId="7" fillId="4" borderId="4" xfId="0" applyNumberFormat="1" applyFont="1" applyFill="1" applyBorder="1"/>
    <xf numFmtId="10" fontId="7" fillId="4" borderId="4" xfId="0" applyNumberFormat="1" applyFont="1" applyFill="1" applyBorder="1"/>
    <xf numFmtId="0" fontId="8" fillId="5" borderId="0" xfId="0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9" fillId="5" borderId="5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9" fontId="10" fillId="0" borderId="5" xfId="0" applyNumberFormat="1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9" fontId="11" fillId="0" borderId="5" xfId="0" applyNumberFormat="1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9" fontId="12" fillId="0" borderId="5" xfId="0" applyNumberFormat="1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9" fontId="13" fillId="0" borderId="5" xfId="0" applyNumberFormat="1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0" fillId="0" borderId="0" xfId="0" applyFont="1" applyAlignment="1">
      <alignment horizontal="left" vertical="center"/>
    </xf>
    <xf numFmtId="0" fontId="14" fillId="0" borderId="0" xfId="0" applyFont="1" applyAlignment="1">
      <alignment/>
      <extLst>
        <ext xmlns:etc="http://www.wps.cn/officeDocument/2017/etCustomData" uri="{F19249F5-4A6E-446B-B59F-E2C9F2DAA1D5}">
          <etc:displayText val="2"/>
        </ext>
      </extLst>
    </xf>
    <xf numFmtId="3" fontId="15" fillId="0" borderId="0" xfId="0" applyNumberFormat="1" applyFont="1" applyAlignment="1">
      <alignment/>
      <extLst>
        <ext xmlns:etc="http://www.wps.cn/officeDocument/2017/etCustomData" uri="{F19249F5-4A6E-446B-B59F-E2C9F2DAA1D5}">
          <etc:displayText val="2"/>
        </ext>
      </extLst>
    </xf>
    <xf numFmtId="10" fontId="15" fillId="0" borderId="0" xfId="0" applyNumberFormat="1" applyFont="1" applyAlignment="1">
      <alignment/>
      <extLst>
        <ext xmlns:etc="http://www.wps.cn/officeDocument/2017/etCustomData" uri="{F19249F5-4A6E-446B-B59F-E2C9F2DAA1D5}">
          <etc:displayText val="2"/>
        </ext>
      </extLst>
    </xf>
    <xf numFmtId="9" fontId="0" fillId="0" borderId="0" xfId="0" applyNumberFormat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6" fillId="5" borderId="0" xfId="0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7" fillId="5" borderId="0" xfId="0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4" fillId="5" borderId="0" xfId="0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77" fontId="15" fillId="0" borderId="0" xfId="0" applyNumberFormat="1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3" fontId="18" fillId="0" borderId="0" xfId="0" applyNumberFormat="1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8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77" fontId="19" fillId="0" borderId="0" xfId="0" applyNumberFormat="1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4" fillId="6" borderId="0" xfId="0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3" fontId="18" fillId="6" borderId="0" xfId="0" applyNumberFormat="1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77" fontId="19" fillId="6" borderId="0" xfId="0" applyNumberFormat="1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0" fillId="5" borderId="0" xfId="0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1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9" fontId="18" fillId="0" borderId="0" xfId="0" applyNumberFormat="1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9" fontId="21" fillId="0" borderId="0" xfId="0" applyNumberFormat="1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4" fillId="7" borderId="0" xfId="0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9" fontId="18" fillId="7" borderId="0" xfId="0" applyNumberFormat="1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9" fontId="21" fillId="7" borderId="0" xfId="0" applyNumberFormat="1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1" fillId="7" borderId="0" xfId="0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7" fillId="0" borderId="0" xfId="0" applyFont="1"/>
    <xf numFmtId="0" fontId="14" fillId="5" borderId="0" xfId="0" applyFont="1" applyFill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14" fillId="0" borderId="0" xfId="0" applyFont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3" fontId="15" fillId="0" borderId="0" xfId="0" applyNumberFormat="1" applyFont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10" fontId="15" fillId="0" borderId="0" xfId="0" applyNumberFormat="1" applyFont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9" fontId="0" fillId="0" borderId="0" xfId="0" applyNumberFormat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15" fillId="0" borderId="0" xfId="0" applyFont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22" fillId="8" borderId="0" xfId="0" applyFont="1" applyFill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15" fillId="0" borderId="0" xfId="0" applyFont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/>
    <xf numFmtId="0" fontId="23" fillId="0" borderId="0" xfId="0" applyFont="1" applyFill="1" applyAlignment="1">
      <alignment horizontal="center" vertical="center"/>
    </xf>
    <xf numFmtId="0" fontId="24" fillId="5" borderId="6" xfId="0" applyFont="1" applyFill="1" applyBorder="1" applyAlignment="1">
      <alignment horizontal="center" vertical="center"/>
    </xf>
    <xf numFmtId="0" fontId="25" fillId="0" borderId="6" xfId="0" applyFont="1" applyFill="1" applyBorder="1" applyAlignment="1">
      <alignment horizontal="center"/>
    </xf>
    <xf numFmtId="176" fontId="25" fillId="0" borderId="6" xfId="0" applyNumberFormat="1" applyFont="1" applyFill="1" applyBorder="1" applyAlignment="1">
      <alignment horizontal="center"/>
    </xf>
    <xf numFmtId="3" fontId="25" fillId="0" borderId="6" xfId="0" applyNumberFormat="1" applyFont="1" applyFill="1" applyBorder="1" applyAlignment="1">
      <alignment horizontal="center"/>
    </xf>
    <xf numFmtId="0" fontId="26" fillId="0" borderId="0" xfId="49"/>
    <xf numFmtId="0" fontId="27" fillId="0" borderId="0" xfId="49" applyNumberFormat="1" applyFont="1" applyFill="1" applyBorder="1" applyAlignment="1">
      <alignment horizontal="center" vertical="center"/>
    </xf>
    <xf numFmtId="0" fontId="28" fillId="0" borderId="0" xfId="49" applyNumberFormat="1" applyFont="1" applyFill="1" applyBorder="1" applyAlignment="1">
      <alignment horizontal="center"/>
    </xf>
    <xf numFmtId="0" fontId="29" fillId="5" borderId="0" xfId="49" applyNumberFormat="1" applyFont="1" applyFill="1" applyBorder="1" applyAlignment="1">
      <alignment horizontal="center"/>
    </xf>
    <xf numFmtId="0" fontId="22" fillId="8" borderId="0" xfId="49" applyNumberFormat="1" applyFont="1" applyFill="1" applyBorder="1" applyAlignment="1">
      <alignment horizontal="center"/>
    </xf>
    <xf numFmtId="0" fontId="26" fillId="0" borderId="0" xfId="49" applyNumberFormat="1" applyFont="1" applyFill="1" applyBorder="1" applyAlignment="1">
      <alignment horizontal="center"/>
    </xf>
    <xf numFmtId="3" fontId="26" fillId="0" borderId="0" xfId="49" applyNumberFormat="1" applyFont="1" applyFill="1" applyBorder="1"/>
    <xf numFmtId="176" fontId="26" fillId="0" borderId="0" xfId="49" applyNumberFormat="1" applyFont="1" applyFill="1" applyBorder="1"/>
    <xf numFmtId="0" fontId="26" fillId="0" borderId="0" xfId="49" applyNumberFormat="1" applyFont="1" applyFill="1" applyBorder="1"/>
    <xf numFmtId="0" fontId="4" fillId="9" borderId="7" xfId="0" applyFont="1" applyFill="1" applyBorder="1"/>
    <xf numFmtId="0" fontId="3" fillId="0" borderId="2" xfId="0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10" fontId="3" fillId="0" borderId="2" xfId="0" applyNumberFormat="1" applyFont="1" applyBorder="1" applyAlignment="1">
      <alignment horizontal="center"/>
    </xf>
    <xf numFmtId="10" fontId="0" fillId="0" borderId="0" xfId="3" applyNumberFormat="1" applyAlignment="1">
      <alignment horizontal="center"/>
    </xf>
    <xf numFmtId="3" fontId="7" fillId="4" borderId="4" xfId="0" applyNumberFormat="1" applyFont="1" applyFill="1" applyBorder="1" applyAlignment="1">
      <alignment horizontal="center"/>
    </xf>
    <xf numFmtId="10" fontId="7" fillId="4" borderId="4" xfId="0" applyNumberFormat="1" applyFont="1" applyFill="1" applyBorder="1" applyAlignment="1">
      <alignment horizontal="center"/>
    </xf>
    <xf numFmtId="0" fontId="30" fillId="10" borderId="5" xfId="0" applyFont="1" applyFill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31" fillId="0" borderId="0" xfId="0" applyFont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3" fontId="31" fillId="0" borderId="0" xfId="0" applyNumberFormat="1" applyFont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10" fontId="31" fillId="0" borderId="0" xfId="0" applyNumberFormat="1" applyFont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3" fontId="0" fillId="0" borderId="0" xfId="0" applyNumberFormat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176" fontId="0" fillId="0" borderId="0" xfId="0" applyNumberFormat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UK</a:t>
            </a:r>
            <a:r>
              <a:rPr altLang="en-US"/>
              <a:t>开耳品牌销额</a:t>
            </a:r>
            <a:r>
              <a:rPr lang="en-US" altLang="zh-CN"/>
              <a:t>YOY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06183017312449"/>
          <c:y val="0.118970565572507"/>
          <c:w val="0.848128606760099"/>
          <c:h val="0.7379257204499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开耳品牌销额变化!$B$42</c:f>
              <c:strCache>
                <c:ptCount val="1"/>
                <c:pt idx="0">
                  <c:v>25PD Sales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开耳品牌销额变化!$A$43:$A$51</c:f>
              <c:strCache>
                <c:ptCount val="9"/>
                <c:pt idx="0">
                  <c:v>SHOKZ</c:v>
                </c:pt>
                <c:pt idx="1">
                  <c:v>Soundcore</c:v>
                </c:pt>
                <c:pt idx="2">
                  <c:v>Bose</c:v>
                </c:pt>
                <c:pt idx="3">
                  <c:v>JBL</c:v>
                </c:pt>
                <c:pt idx="4">
                  <c:v>Sony</c:v>
                </c:pt>
                <c:pt idx="5">
                  <c:v>Huawei</c:v>
                </c:pt>
                <c:pt idx="6">
                  <c:v>King Lucky</c:v>
                </c:pt>
                <c:pt idx="7">
                  <c:v>JLAB</c:v>
                </c:pt>
                <c:pt idx="8">
                  <c:v>Skullcandy</c:v>
                </c:pt>
              </c:strCache>
            </c:strRef>
          </c:cat>
          <c:val>
            <c:numRef>
              <c:f>开耳品牌销额变化!$B$43:$B$51</c:f>
              <c:numCache>
                <c:formatCode>#,##0</c:formatCode>
                <c:ptCount val="9"/>
                <c:pt idx="0">
                  <c:v>309792</c:v>
                </c:pt>
                <c:pt idx="1">
                  <c:v>125435.45</c:v>
                </c:pt>
                <c:pt idx="2">
                  <c:v>65661.91</c:v>
                </c:pt>
                <c:pt idx="3">
                  <c:v>1224.55</c:v>
                </c:pt>
                <c:pt idx="4">
                  <c:v>853.5</c:v>
                </c:pt>
                <c:pt idx="5">
                  <c:v>15818.2</c:v>
                </c:pt>
                <c:pt idx="6">
                  <c:v>4402.41</c:v>
                </c:pt>
                <c:pt idx="7">
                  <c:v>2485.27</c:v>
                </c:pt>
                <c:pt idx="8">
                  <c:v>6136.93</c:v>
                </c:pt>
              </c:numCache>
            </c:numRef>
          </c:val>
        </c:ser>
        <c:ser>
          <c:idx val="1"/>
          <c:order val="1"/>
          <c:tx>
            <c:strRef>
              <c:f>开耳品牌销额变化!$C$42</c:f>
              <c:strCache>
                <c:ptCount val="1"/>
                <c:pt idx="0">
                  <c:v>26PD Sales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开耳品牌销额变化!$A$43:$A$51</c:f>
              <c:strCache>
                <c:ptCount val="9"/>
                <c:pt idx="0">
                  <c:v>SHOKZ</c:v>
                </c:pt>
                <c:pt idx="1">
                  <c:v>Soundcore</c:v>
                </c:pt>
                <c:pt idx="2">
                  <c:v>Bose</c:v>
                </c:pt>
                <c:pt idx="3">
                  <c:v>JBL</c:v>
                </c:pt>
                <c:pt idx="4">
                  <c:v>Sony</c:v>
                </c:pt>
                <c:pt idx="5">
                  <c:v>Huawei</c:v>
                </c:pt>
                <c:pt idx="6">
                  <c:v>King Lucky</c:v>
                </c:pt>
                <c:pt idx="7">
                  <c:v>JLAB</c:v>
                </c:pt>
                <c:pt idx="8">
                  <c:v>Skullcandy</c:v>
                </c:pt>
              </c:strCache>
            </c:strRef>
          </c:cat>
          <c:val>
            <c:numRef>
              <c:f>开耳品牌销额变化!$C$43:$C$51</c:f>
              <c:numCache>
                <c:formatCode>#,##0</c:formatCode>
                <c:ptCount val="9"/>
                <c:pt idx="0">
                  <c:v>174327.74</c:v>
                </c:pt>
                <c:pt idx="1">
                  <c:v>62497.76</c:v>
                </c:pt>
                <c:pt idx="2">
                  <c:v>17232.05</c:v>
                </c:pt>
                <c:pt idx="3">
                  <c:v>15622.85</c:v>
                </c:pt>
                <c:pt idx="4">
                  <c:v>10855.7</c:v>
                </c:pt>
                <c:pt idx="5">
                  <c:v>10433.55</c:v>
                </c:pt>
                <c:pt idx="6">
                  <c:v>9544.82</c:v>
                </c:pt>
                <c:pt idx="7">
                  <c:v>5832.51</c:v>
                </c:pt>
                <c:pt idx="8">
                  <c:v>5040.21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754894"/>
        <c:axId val="715402912"/>
      </c:barChart>
      <c:lineChart>
        <c:grouping val="standard"/>
        <c:varyColors val="0"/>
        <c:ser>
          <c:idx val="2"/>
          <c:order val="2"/>
          <c:tx>
            <c:strRef>
              <c:f>开耳品牌销额变化!$D$42</c:f>
              <c:strCache>
                <c:ptCount val="1"/>
                <c:pt idx="0">
                  <c:v>Sales YOY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.00824402308326463"/>
                  <c:y val="-0.0339035290491601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0659521846661171"/>
                  <c:y val="-0.0154106950223455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0.0346248969497115"/>
                  <c:y val="-0.016951764524580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89612530915087"/>
                  <c:y val="-0.007705347511172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开耳品牌销额变化!$A$43:$A$51</c:f>
              <c:strCache>
                <c:ptCount val="9"/>
                <c:pt idx="0">
                  <c:v>SHOKZ</c:v>
                </c:pt>
                <c:pt idx="1">
                  <c:v>Soundcore</c:v>
                </c:pt>
                <c:pt idx="2">
                  <c:v>Bose</c:v>
                </c:pt>
                <c:pt idx="3">
                  <c:v>JBL</c:v>
                </c:pt>
                <c:pt idx="4">
                  <c:v>Sony</c:v>
                </c:pt>
                <c:pt idx="5">
                  <c:v>Huawei</c:v>
                </c:pt>
                <c:pt idx="6">
                  <c:v>King Lucky</c:v>
                </c:pt>
                <c:pt idx="7">
                  <c:v>JLAB</c:v>
                </c:pt>
                <c:pt idx="8">
                  <c:v>Skullcandy</c:v>
                </c:pt>
              </c:strCache>
            </c:strRef>
          </c:cat>
          <c:val>
            <c:numRef>
              <c:f>开耳品牌销额变化!$D$43:$D$51</c:f>
              <c:numCache>
                <c:formatCode>0.00%</c:formatCode>
                <c:ptCount val="9"/>
                <c:pt idx="0">
                  <c:v>-0.437274881210619</c:v>
                </c:pt>
                <c:pt idx="1">
                  <c:v>-0.501753611120301</c:v>
                </c:pt>
                <c:pt idx="2">
                  <c:v>-0.737563984964799</c:v>
                </c:pt>
                <c:pt idx="3">
                  <c:v>11.7580335633498</c:v>
                </c:pt>
                <c:pt idx="4">
                  <c:v>11.7190392501465</c:v>
                </c:pt>
                <c:pt idx="5">
                  <c:v>-0.34040851677182</c:v>
                </c:pt>
                <c:pt idx="6">
                  <c:v>1.16808975084102</c:v>
                </c:pt>
                <c:pt idx="7">
                  <c:v>1.34683153138291</c:v>
                </c:pt>
                <c:pt idx="8">
                  <c:v>-0.178708246631459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642874811"/>
        <c:axId val="462102954"/>
      </c:lineChart>
      <c:catAx>
        <c:axId val="46775489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5402912"/>
        <c:crosses val="autoZero"/>
        <c:auto val="1"/>
        <c:lblAlgn val="ctr"/>
        <c:lblOffset val="100"/>
        <c:noMultiLvlLbl val="0"/>
      </c:catAx>
      <c:valAx>
        <c:axId val="71540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7754894"/>
        <c:crosses val="autoZero"/>
        <c:crossBetween val="between"/>
      </c:valAx>
      <c:catAx>
        <c:axId val="642874811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2102954"/>
        <c:crosses val="autoZero"/>
        <c:auto val="1"/>
        <c:lblAlgn val="ctr"/>
        <c:lblOffset val="100"/>
        <c:noMultiLvlLbl val="0"/>
      </c:catAx>
      <c:valAx>
        <c:axId val="46210295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28748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5a36db-fbfc-413b-8307-7c50c44a36e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69850</xdr:colOff>
      <xdr:row>0</xdr:row>
      <xdr:rowOff>12700</xdr:rowOff>
    </xdr:from>
    <xdr:to>
      <xdr:col>12</xdr:col>
      <xdr:colOff>327660</xdr:colOff>
      <xdr:row>13</xdr:row>
      <xdr:rowOff>154940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038600" y="12700"/>
          <a:ext cx="4525010" cy="24853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481336</xdr:colOff>
      <xdr:row>26</xdr:row>
      <xdr:rowOff>96121</xdr:rowOff>
    </xdr:to>
    <xdr:pic>
      <xdr:nvPicPr>
        <xdr:cNvPr id="2" name="Picture 1" descr="UK_耳机品牌YOY_品牌市占变化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1535410" cy="48202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302421</xdr:colOff>
      <xdr:row>25</xdr:row>
      <xdr:rowOff>86589</xdr:rowOff>
    </xdr:to>
    <xdr:pic>
      <xdr:nvPicPr>
        <xdr:cNvPr id="2" name="Picture 1" descr="UK_耳机品牌销额YOY_销额变化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580880" cy="45313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210185</xdr:colOff>
      <xdr:row>3</xdr:row>
      <xdr:rowOff>32385</xdr:rowOff>
    </xdr:from>
    <xdr:ext cx="10572750" cy="4394200"/>
    <xdr:pic>
      <xdr:nvPicPr>
        <xdr:cNvPr id="2" name="Picture 1" descr="UK_开耳品牌YOY_品牌市占变化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0185" y="667385"/>
          <a:ext cx="10572750" cy="43942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7505700" cy="3581400"/>
    <xdr:pic>
      <xdr:nvPicPr>
        <xdr:cNvPr id="2" name="Picture 2" descr="UK_开耳品牌销额YOY_销额变化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7505700" cy="3581400"/>
        </a:xfrm>
        <a:prstGeom prst="rect">
          <a:avLst/>
        </a:prstGeom>
      </xdr:spPr>
    </xdr:pic>
    <xdr:clientData/>
  </xdr:oneCellAnchor>
  <xdr:twoCellAnchor>
    <xdr:from>
      <xdr:col>5</xdr:col>
      <xdr:colOff>603885</xdr:colOff>
      <xdr:row>41</xdr:row>
      <xdr:rowOff>158750</xdr:rowOff>
    </xdr:from>
    <xdr:to>
      <xdr:col>15</xdr:col>
      <xdr:colOff>10795</xdr:colOff>
      <xdr:row>65</xdr:row>
      <xdr:rowOff>12065</xdr:rowOff>
    </xdr:to>
    <xdr:graphicFrame>
      <xdr:nvGraphicFramePr>
        <xdr:cNvPr id="3" name="图表 2"/>
        <xdr:cNvGraphicFramePr/>
      </xdr:nvGraphicFramePr>
      <xdr:xfrm>
        <a:off x="5741035" y="7639050"/>
        <a:ext cx="7698740" cy="4120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3</xdr:row>
      <xdr:rowOff>0</xdr:rowOff>
    </xdr:from>
    <xdr:ext cx="8858250" cy="5524500"/>
    <xdr:pic>
      <xdr:nvPicPr>
        <xdr:cNvPr id="2" name="1fc58850-9352-4bd1-9cc0-cd0f9d17ed9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812800"/>
          <a:ext cx="8858250" cy="55245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3</xdr:row>
      <xdr:rowOff>0</xdr:rowOff>
    </xdr:from>
    <xdr:ext cx="8858250" cy="5524500"/>
    <xdr:pic>
      <xdr:nvPicPr>
        <xdr:cNvPr id="2" name="9ce85654-acd5-48ae-a0ef-fb18249888a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812800"/>
          <a:ext cx="8858250" cy="55245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18</xdr:col>
      <xdr:colOff>325120</xdr:colOff>
      <xdr:row>18</xdr:row>
      <xdr:rowOff>160020</xdr:rowOff>
    </xdr:to>
    <xdr:pic>
      <xdr:nvPicPr>
        <xdr:cNvPr id="2" name="Picture 1" descr="UK_耳机价格月度占比变化_仿照示例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79570" y="254000"/>
          <a:ext cx="8497570" cy="36271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18</xdr:col>
      <xdr:colOff>325120</xdr:colOff>
      <xdr:row>18</xdr:row>
      <xdr:rowOff>160020</xdr:rowOff>
    </xdr:to>
    <xdr:pic>
      <xdr:nvPicPr>
        <xdr:cNvPr id="2" name="Picture 1" descr="UK_开耳价格月度占比变化_仿照示例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79570" y="254000"/>
          <a:ext cx="8497570" cy="36271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236220</xdr:colOff>
      <xdr:row>27</xdr:row>
      <xdr:rowOff>48895</xdr:rowOff>
    </xdr:from>
    <xdr:to>
      <xdr:col>17</xdr:col>
      <xdr:colOff>286385</xdr:colOff>
      <xdr:row>51</xdr:row>
      <xdr:rowOff>132715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003675" y="5052695"/>
          <a:ext cx="6762115" cy="43510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B15" sqref="B15"/>
    </sheetView>
  </sheetViews>
  <sheetFormatPr defaultColWidth="8.72727272727273" defaultRowHeight="14" outlineLevelRow="5" outlineLevelCol="3"/>
  <cols>
    <col min="2" max="2" width="14.6363636363636" customWidth="1"/>
    <col min="3" max="3" width="16" customWidth="1"/>
  </cols>
  <sheetData>
    <row r="1" ht="14.5" spans="1:4">
      <c r="A1" s="73" t="s">
        <v>0</v>
      </c>
      <c r="B1" s="73" t="s">
        <v>1</v>
      </c>
      <c r="C1" s="73" t="s">
        <v>2</v>
      </c>
      <c r="D1" s="73" t="s">
        <v>3</v>
      </c>
    </row>
    <row r="2" ht="14.5" spans="1:4">
      <c r="A2" s="74" t="s">
        <v>4</v>
      </c>
      <c r="B2" s="75">
        <v>635138</v>
      </c>
      <c r="C2" s="75">
        <v>383221</v>
      </c>
      <c r="D2" s="76">
        <v>-0.3966</v>
      </c>
    </row>
    <row r="3" ht="14.5" spans="1:4">
      <c r="A3" s="74" t="s">
        <v>5</v>
      </c>
      <c r="B3" s="75">
        <v>1012820</v>
      </c>
      <c r="C3" s="75">
        <v>776584</v>
      </c>
      <c r="D3" s="76">
        <v>-0.2332</v>
      </c>
    </row>
    <row r="4" ht="14.5" spans="1:4">
      <c r="A4" s="74" t="s">
        <v>6</v>
      </c>
      <c r="B4" s="75">
        <v>11356726</v>
      </c>
      <c r="C4" s="75">
        <v>9844247</v>
      </c>
      <c r="D4" s="76">
        <v>-0.1332</v>
      </c>
    </row>
    <row r="5" ht="14.5" spans="1:4">
      <c r="A5" s="74" t="s">
        <v>7</v>
      </c>
      <c r="B5" s="75">
        <v>6355094</v>
      </c>
      <c r="C5" s="75">
        <v>5550442</v>
      </c>
      <c r="D5" s="76">
        <v>-0.1266</v>
      </c>
    </row>
    <row r="6" spans="1:4">
      <c r="A6" s="77" t="s">
        <v>8</v>
      </c>
      <c r="B6" s="78">
        <v>19359778</v>
      </c>
      <c r="C6" s="78">
        <v>16554495</v>
      </c>
      <c r="D6" s="79">
        <v>-0.145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showGridLines="0" zoomScale="40" zoomScaleNormal="40" workbookViewId="0">
      <selection activeCell="A1" sqref="A1"/>
    </sheetView>
  </sheetViews>
  <sheetFormatPr defaultColWidth="9" defaultRowHeight="14" outlineLevelCol="7"/>
  <cols>
    <col min="1" max="1" width="18.7090909090909" customWidth="1"/>
    <col min="2" max="3" width="14.7090909090909" customWidth="1"/>
    <col min="4" max="6" width="12.7090909090909" customWidth="1"/>
  </cols>
  <sheetData>
    <row r="1" ht="22" customHeight="1"/>
    <row r="39" ht="21" spans="1:8">
      <c r="A39" s="1" t="s">
        <v>9</v>
      </c>
    </row>
    <row r="40" spans="1:8">
      <c r="A40" s="4" t="s">
        <v>10</v>
      </c>
      <c r="H40" s="66" t="s">
        <v>11</v>
      </c>
    </row>
    <row r="42" spans="1:8">
      <c r="A42" s="2" t="s">
        <v>12</v>
      </c>
      <c r="B42" s="2" t="s">
        <v>13</v>
      </c>
      <c r="C42" s="2" t="s">
        <v>14</v>
      </c>
      <c r="D42" s="2" t="s">
        <v>15</v>
      </c>
      <c r="E42" s="2" t="s">
        <v>16</v>
      </c>
    </row>
    <row r="43" spans="1:8">
      <c r="A43" s="3" t="s">
        <v>17</v>
      </c>
      <c r="B43" s="5">
        <v>5514386.9</v>
      </c>
      <c r="C43" s="5">
        <v>5809834.21</v>
      </c>
      <c r="D43" s="6">
        <v>0.284837306483146</v>
      </c>
      <c r="E43" s="6">
        <v>0.350952066556976</v>
      </c>
    </row>
    <row r="44" spans="1:8">
      <c r="A44" s="3" t="s">
        <v>18</v>
      </c>
      <c r="B44" s="5">
        <v>1941692.6</v>
      </c>
      <c r="C44" s="5">
        <v>2011129.95</v>
      </c>
      <c r="D44" s="6">
        <v>0.100295191511183</v>
      </c>
      <c r="E44" s="6">
        <v>0.121485430832479</v>
      </c>
    </row>
    <row r="45" spans="1:8">
      <c r="A45" s="3" t="s">
        <v>19</v>
      </c>
      <c r="B45" s="5">
        <v>1281569.76</v>
      </c>
      <c r="C45" s="5">
        <v>1330003.69</v>
      </c>
      <c r="D45" s="6">
        <v>0.066197545643497</v>
      </c>
      <c r="E45" s="6">
        <v>0.080340940319862</v>
      </c>
    </row>
    <row r="46" spans="1:8">
      <c r="A46" s="3" t="s">
        <v>20</v>
      </c>
      <c r="B46" s="5">
        <v>1476055.8</v>
      </c>
      <c r="C46" s="5">
        <v>1035348.93</v>
      </c>
      <c r="D46" s="6">
        <v>0.0762434275859072</v>
      </c>
      <c r="E46" s="6">
        <v>0.0625418615157099</v>
      </c>
    </row>
    <row r="47" spans="1:8">
      <c r="A47" s="3" t="s">
        <v>21</v>
      </c>
      <c r="B47" s="5">
        <v>1168409.44</v>
      </c>
      <c r="C47" s="5">
        <v>820318.039999999</v>
      </c>
      <c r="D47" s="6">
        <v>0.0603524206397417</v>
      </c>
      <c r="E47" s="6">
        <v>0.0495525863503027</v>
      </c>
    </row>
    <row r="48" spans="1:8">
      <c r="A48" s="3" t="s">
        <v>22</v>
      </c>
      <c r="B48" s="5">
        <v>1168358.98</v>
      </c>
      <c r="C48" s="5">
        <v>866273.23</v>
      </c>
      <c r="D48" s="6">
        <v>0.0603498142048386</v>
      </c>
      <c r="E48" s="6">
        <v>0.0523285810373385</v>
      </c>
    </row>
    <row r="49" spans="1:5">
      <c r="A49" s="3" t="s">
        <v>23</v>
      </c>
      <c r="B49" s="5">
        <v>389352.16</v>
      </c>
      <c r="C49" s="5">
        <v>267069.62</v>
      </c>
      <c r="D49" s="6">
        <v>0.0201113963417755</v>
      </c>
      <c r="E49" s="6">
        <v>0.016132755542707</v>
      </c>
    </row>
    <row r="50" spans="1:5">
      <c r="A50" s="3" t="s">
        <v>24</v>
      </c>
      <c r="B50" s="5">
        <v>274197.22</v>
      </c>
      <c r="C50" s="5">
        <v>189488.39</v>
      </c>
      <c r="D50" s="6">
        <v>0.0141632422617946</v>
      </c>
      <c r="E50" s="6">
        <v>0.0114463407483454</v>
      </c>
    </row>
    <row r="51" spans="1:5">
      <c r="A51" s="3" t="s">
        <v>25</v>
      </c>
      <c r="B51" s="5">
        <v>506305.19</v>
      </c>
      <c r="C51" s="5">
        <v>356903.25</v>
      </c>
      <c r="D51" s="6">
        <v>0.0261524280383804</v>
      </c>
      <c r="E51" s="6">
        <v>0.0215592956048226</v>
      </c>
    </row>
    <row r="52" spans="1:5">
      <c r="A52" s="3" t="s">
        <v>26</v>
      </c>
      <c r="B52" s="5">
        <v>310955.32</v>
      </c>
      <c r="C52" s="5">
        <v>236649.66</v>
      </c>
      <c r="D52" s="6">
        <v>0.0160619262651674</v>
      </c>
      <c r="E52" s="6">
        <v>0.0142951905725733</v>
      </c>
    </row>
    <row r="53" spans="1:5">
      <c r="A53" s="3" t="s">
        <v>27</v>
      </c>
      <c r="B53" s="5">
        <v>196798.77</v>
      </c>
      <c r="C53" s="5">
        <v>199099.89</v>
      </c>
      <c r="D53" s="6">
        <v>0.0101653425090641</v>
      </c>
      <c r="E53" s="6">
        <v>0.0120269383464501</v>
      </c>
    </row>
    <row r="54" spans="1:5">
      <c r="A54" s="9" t="s">
        <v>28</v>
      </c>
      <c r="B54" s="10">
        <v>19359777.58</v>
      </c>
      <c r="C54" s="10">
        <v>16554494.94</v>
      </c>
      <c r="D54" s="11">
        <v>1</v>
      </c>
      <c r="E54" s="11">
        <v>1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7:G50"/>
  <sheetViews>
    <sheetView showGridLines="0" zoomScale="55" zoomScaleNormal="55" workbookViewId="0">
      <selection activeCell="G44" sqref="G44"/>
    </sheetView>
  </sheetViews>
  <sheetFormatPr defaultColWidth="9" defaultRowHeight="14" outlineLevelCol="6"/>
  <cols>
    <col min="1" max="1" width="18.7090909090909" customWidth="1"/>
    <col min="2" max="3" width="14.7090909090909" customWidth="1"/>
    <col min="4" max="4" width="12.7090909090909" customWidth="1"/>
  </cols>
  <sheetData>
    <row r="37" ht="21" spans="1:7">
      <c r="A37" s="1" t="s">
        <v>29</v>
      </c>
    </row>
    <row r="38" spans="1:7">
      <c r="A38" s="4" t="s">
        <v>10</v>
      </c>
      <c r="G38" s="66" t="s">
        <v>30</v>
      </c>
    </row>
    <row r="40" spans="1:7">
      <c r="A40" s="2" t="s">
        <v>12</v>
      </c>
      <c r="B40" s="2" t="s">
        <v>13</v>
      </c>
      <c r="C40" s="2" t="s">
        <v>14</v>
      </c>
      <c r="D40" s="2" t="s">
        <v>3</v>
      </c>
    </row>
    <row r="41" spans="1:7">
      <c r="A41" s="3" t="s">
        <v>17</v>
      </c>
      <c r="B41" s="5">
        <v>5514386.9</v>
      </c>
      <c r="C41" s="5">
        <v>5809834.21</v>
      </c>
      <c r="D41" s="7">
        <v>0.0535775445861439</v>
      </c>
    </row>
    <row r="42" spans="1:7">
      <c r="A42" s="3" t="s">
        <v>19</v>
      </c>
      <c r="B42" s="5">
        <v>1281569.76</v>
      </c>
      <c r="C42" s="5">
        <v>1330003.69</v>
      </c>
      <c r="D42" s="7">
        <v>0.0377926598392884</v>
      </c>
    </row>
    <row r="43" spans="1:7">
      <c r="A43" s="3" t="s">
        <v>18</v>
      </c>
      <c r="B43" s="5">
        <v>1941692.6</v>
      </c>
      <c r="C43" s="5">
        <v>2011129.95</v>
      </c>
      <c r="D43" s="7">
        <v>0.0357612476866831</v>
      </c>
    </row>
    <row r="44" spans="1:7">
      <c r="A44" s="3" t="s">
        <v>20</v>
      </c>
      <c r="B44" s="5">
        <v>1476055.8</v>
      </c>
      <c r="C44" s="5">
        <v>1035348.93</v>
      </c>
      <c r="D44" s="8">
        <v>-0.298570602818674</v>
      </c>
    </row>
    <row r="45" spans="1:7">
      <c r="A45" s="3" t="s">
        <v>22</v>
      </c>
      <c r="B45" s="5">
        <v>1168358.98</v>
      </c>
      <c r="C45" s="5">
        <v>866273.23</v>
      </c>
      <c r="D45" s="8">
        <v>-0.258555593932269</v>
      </c>
    </row>
    <row r="46" spans="1:7">
      <c r="A46" s="3" t="s">
        <v>21</v>
      </c>
      <c r="B46" s="5">
        <v>1168409.44</v>
      </c>
      <c r="C46" s="5">
        <v>820318.039999999</v>
      </c>
      <c r="D46" s="8">
        <v>-0.297919024002409</v>
      </c>
    </row>
    <row r="47" spans="1:7">
      <c r="A47" s="3" t="s">
        <v>24</v>
      </c>
      <c r="B47" s="5">
        <v>274197.22</v>
      </c>
      <c r="C47" s="5">
        <v>189488.39</v>
      </c>
      <c r="D47" s="8">
        <v>-0.308933949075049</v>
      </c>
    </row>
    <row r="48" spans="1:7">
      <c r="A48" s="3" t="s">
        <v>23</v>
      </c>
      <c r="B48" s="5">
        <v>389352.16</v>
      </c>
      <c r="C48" s="5">
        <v>267069.62</v>
      </c>
      <c r="D48" s="8">
        <v>-0.314066679378381</v>
      </c>
    </row>
    <row r="49" spans="1:4">
      <c r="A49" s="3" t="s">
        <v>26</v>
      </c>
      <c r="B49" s="5">
        <v>310955.32</v>
      </c>
      <c r="C49" s="5">
        <v>236649.66</v>
      </c>
      <c r="D49" s="8">
        <v>-0.238959281995883</v>
      </c>
    </row>
    <row r="50" spans="1:4">
      <c r="A50" s="9" t="s">
        <v>28</v>
      </c>
      <c r="B50" s="10">
        <v>19359777.58</v>
      </c>
      <c r="C50" s="10">
        <v>16554494.94</v>
      </c>
      <c r="D50" s="8">
        <v>-0.144902627543513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showGridLines="0" zoomScale="70" zoomScaleNormal="70" topLeftCell="A17" workbookViewId="0">
      <selection activeCell="H40" sqref="H40"/>
    </sheetView>
  </sheetViews>
  <sheetFormatPr defaultColWidth="9" defaultRowHeight="14" outlineLevelCol="7"/>
  <cols>
    <col min="1" max="1" width="18.7090909090909" customWidth="1"/>
    <col min="2" max="3" width="14.7090909090909" customWidth="1"/>
    <col min="4" max="6" width="12.7090909090909" customWidth="1"/>
    <col min="8" max="8" width="34" customWidth="1"/>
  </cols>
  <sheetData>
    <row r="1" ht="22" customHeight="1"/>
    <row r="39" ht="21" spans="1:8">
      <c r="A39" s="1" t="s">
        <v>31</v>
      </c>
    </row>
    <row r="40" spans="1:8">
      <c r="A40" s="4" t="s">
        <v>32</v>
      </c>
      <c r="H40" s="66" t="s">
        <v>33</v>
      </c>
    </row>
    <row r="42" spans="1:8">
      <c r="A42" s="2" t="s">
        <v>12</v>
      </c>
      <c r="B42" s="2" t="s">
        <v>13</v>
      </c>
      <c r="C42" s="2" t="s">
        <v>14</v>
      </c>
      <c r="D42" s="2" t="s">
        <v>15</v>
      </c>
      <c r="E42" s="2" t="s">
        <v>16</v>
      </c>
      <c r="F42" s="2" t="s">
        <v>3</v>
      </c>
    </row>
    <row r="43" spans="1:8">
      <c r="A43" s="67" t="s">
        <v>22</v>
      </c>
      <c r="B43" s="68">
        <v>309792</v>
      </c>
      <c r="C43" s="68">
        <v>174327.74</v>
      </c>
      <c r="D43" s="69">
        <v>0.487755724113956</v>
      </c>
      <c r="E43" s="69">
        <v>0.454900990884433</v>
      </c>
      <c r="F43" s="70">
        <f>E43-D43</f>
        <v>-0.032854733229523</v>
      </c>
    </row>
    <row r="44" spans="1:8">
      <c r="A44" s="67" t="s">
        <v>19</v>
      </c>
      <c r="B44" s="68">
        <v>125435.45</v>
      </c>
      <c r="C44" s="68">
        <v>62497.76</v>
      </c>
      <c r="D44" s="69">
        <v>0.197493346323694</v>
      </c>
      <c r="E44" s="69">
        <v>0.163085306744971</v>
      </c>
      <c r="F44" s="70">
        <f t="shared" ref="F44:F52" si="0">E44-D44</f>
        <v>-0.034408039578723</v>
      </c>
    </row>
    <row r="45" spans="1:8">
      <c r="A45" s="67" t="s">
        <v>21</v>
      </c>
      <c r="B45" s="68">
        <v>65661.91</v>
      </c>
      <c r="C45" s="68">
        <v>17232.05</v>
      </c>
      <c r="D45" s="69">
        <v>0.103382180491283</v>
      </c>
      <c r="E45" s="69">
        <v>0.0449663181543574</v>
      </c>
      <c r="F45" s="70">
        <f t="shared" si="0"/>
        <v>-0.0584158623369256</v>
      </c>
    </row>
    <row r="46" spans="1:8">
      <c r="A46" s="67" t="s">
        <v>23</v>
      </c>
      <c r="B46" s="68">
        <v>1224.55</v>
      </c>
      <c r="C46" s="68">
        <v>15622.85</v>
      </c>
      <c r="D46" s="69">
        <v>0.00192800741130741</v>
      </c>
      <c r="E46" s="69">
        <v>0.0407671776473375</v>
      </c>
      <c r="F46" s="70">
        <f t="shared" si="0"/>
        <v>0.0388391702360301</v>
      </c>
    </row>
    <row r="47" spans="1:8">
      <c r="A47" s="67" t="s">
        <v>18</v>
      </c>
      <c r="B47" s="68">
        <v>853.5</v>
      </c>
      <c r="C47" s="68">
        <v>10855.7</v>
      </c>
      <c r="D47" s="69">
        <v>0.00134380329553785</v>
      </c>
      <c r="E47" s="69">
        <v>0.0283274978884263</v>
      </c>
      <c r="F47" s="70">
        <f t="shared" si="0"/>
        <v>0.0269836945928885</v>
      </c>
    </row>
    <row r="48" spans="1:8">
      <c r="A48" s="67" t="s">
        <v>34</v>
      </c>
      <c r="B48" s="68">
        <v>15818.2</v>
      </c>
      <c r="C48" s="68">
        <v>10433.55</v>
      </c>
      <c r="D48" s="69">
        <v>0.0249051544106348</v>
      </c>
      <c r="E48" s="69">
        <v>0.0272259150118178</v>
      </c>
      <c r="F48" s="70">
        <f t="shared" si="0"/>
        <v>0.002320760601183</v>
      </c>
    </row>
    <row r="49" spans="1:6">
      <c r="A49" s="67" t="s">
        <v>26</v>
      </c>
      <c r="B49" s="68">
        <v>0</v>
      </c>
      <c r="C49" s="68">
        <v>0</v>
      </c>
      <c r="D49" s="69">
        <v>0</v>
      </c>
      <c r="E49" s="69">
        <v>0.0253087198080442</v>
      </c>
      <c r="F49" s="70">
        <f t="shared" si="0"/>
        <v>0.0253087198080442</v>
      </c>
    </row>
    <row r="50" spans="1:6">
      <c r="A50" s="67" t="s">
        <v>35</v>
      </c>
      <c r="B50" s="68">
        <v>4402.41</v>
      </c>
      <c r="C50" s="68">
        <v>9544.82</v>
      </c>
      <c r="D50" s="69">
        <v>0.00693142714271679</v>
      </c>
      <c r="E50" s="69">
        <v>0.0249068110205154</v>
      </c>
      <c r="F50" s="70">
        <f t="shared" si="0"/>
        <v>0.0179753838777986</v>
      </c>
    </row>
    <row r="51" spans="1:6">
      <c r="A51" s="67" t="s">
        <v>27</v>
      </c>
      <c r="B51" s="68">
        <v>2485.27</v>
      </c>
      <c r="C51" s="68">
        <v>5832.51</v>
      </c>
      <c r="D51" s="69">
        <v>0.00391296311224529</v>
      </c>
      <c r="E51" s="69">
        <v>0.0152196923928651</v>
      </c>
      <c r="F51" s="70">
        <f t="shared" si="0"/>
        <v>0.0113067292806198</v>
      </c>
    </row>
    <row r="52" spans="1:6">
      <c r="A52" s="67" t="s">
        <v>36</v>
      </c>
      <c r="B52" s="68">
        <v>6136.93</v>
      </c>
      <c r="C52" s="68">
        <v>5040.21</v>
      </c>
      <c r="D52" s="69">
        <v>0.00966236292734047</v>
      </c>
      <c r="E52" s="69">
        <v>0.0131522184780553</v>
      </c>
      <c r="F52" s="70">
        <f t="shared" si="0"/>
        <v>0.00348985555071483</v>
      </c>
    </row>
    <row r="53" spans="1:6">
      <c r="A53" s="9" t="s">
        <v>8</v>
      </c>
      <c r="B53" s="71">
        <v>635137.6</v>
      </c>
      <c r="C53" s="71">
        <f>383221.279999999-9699</f>
        <v>373522.279999999</v>
      </c>
      <c r="D53" s="72">
        <v>1</v>
      </c>
      <c r="E53" s="72">
        <v>1</v>
      </c>
      <c r="F53" s="72" t="s">
        <v>37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showGridLines="0" tabSelected="1" zoomScale="60" zoomScaleNormal="60" topLeftCell="A31" workbookViewId="0">
      <selection activeCell="C55" sqref="C55"/>
    </sheetView>
  </sheetViews>
  <sheetFormatPr defaultColWidth="9" defaultRowHeight="14" outlineLevelCol="7"/>
  <cols>
    <col min="1" max="1" width="18.7090909090909" customWidth="1"/>
    <col min="2" max="3" width="14.7090909090909" customWidth="1"/>
    <col min="4" max="6" width="12.7090909090909" customWidth="1"/>
    <col min="8" max="8" width="34" customWidth="1"/>
  </cols>
  <sheetData>
    <row r="1" ht="22" customHeight="1"/>
    <row r="39" ht="21" spans="1:8">
      <c r="A39" s="1" t="s">
        <v>31</v>
      </c>
    </row>
    <row r="40" spans="1:8">
      <c r="A40" s="4" t="s">
        <v>32</v>
      </c>
      <c r="H40" s="66" t="s">
        <v>33</v>
      </c>
    </row>
    <row r="42" spans="1:8">
      <c r="A42" s="2" t="s">
        <v>12</v>
      </c>
      <c r="B42" s="2" t="s">
        <v>13</v>
      </c>
      <c r="C42" s="2" t="s">
        <v>14</v>
      </c>
      <c r="D42" s="2" t="s">
        <v>38</v>
      </c>
    </row>
    <row r="43" spans="1:8">
      <c r="A43" s="3" t="s">
        <v>22</v>
      </c>
      <c r="B43" s="5">
        <v>309792</v>
      </c>
      <c r="C43" s="5">
        <v>174327.74</v>
      </c>
      <c r="D43" s="6">
        <v>-0.437274881210619</v>
      </c>
    </row>
    <row r="44" spans="1:8">
      <c r="A44" s="3" t="s">
        <v>19</v>
      </c>
      <c r="B44" s="5">
        <v>125435.45</v>
      </c>
      <c r="C44" s="5">
        <v>62497.76</v>
      </c>
      <c r="D44" s="6">
        <v>-0.501753611120301</v>
      </c>
    </row>
    <row r="45" spans="1:8">
      <c r="A45" s="3" t="s">
        <v>21</v>
      </c>
      <c r="B45" s="5">
        <v>65661.91</v>
      </c>
      <c r="C45" s="5">
        <v>17232.05</v>
      </c>
      <c r="D45" s="6">
        <v>-0.737563984964799</v>
      </c>
    </row>
    <row r="46" spans="1:8">
      <c r="A46" s="3" t="s">
        <v>23</v>
      </c>
      <c r="B46" s="5">
        <v>1224.55</v>
      </c>
      <c r="C46" s="5">
        <v>15622.85</v>
      </c>
      <c r="D46" s="6">
        <v>11.7580335633498</v>
      </c>
    </row>
    <row r="47" spans="1:8">
      <c r="A47" s="3" t="s">
        <v>18</v>
      </c>
      <c r="B47" s="5">
        <v>853.5</v>
      </c>
      <c r="C47" s="5">
        <v>10855.7</v>
      </c>
      <c r="D47" s="6">
        <v>11.7190392501465</v>
      </c>
    </row>
    <row r="48" spans="1:8">
      <c r="A48" s="3" t="s">
        <v>34</v>
      </c>
      <c r="B48" s="5">
        <v>15818.2</v>
      </c>
      <c r="C48" s="5">
        <v>10433.55</v>
      </c>
      <c r="D48" s="6">
        <v>-0.34040851677182</v>
      </c>
    </row>
    <row r="49" spans="1:4">
      <c r="A49" s="3" t="s">
        <v>35</v>
      </c>
      <c r="B49" s="5">
        <v>4402.41</v>
      </c>
      <c r="C49" s="5">
        <v>9544.82</v>
      </c>
      <c r="D49" s="6">
        <v>1.16808975084102</v>
      </c>
    </row>
    <row r="50" spans="1:4">
      <c r="A50" s="3" t="s">
        <v>27</v>
      </c>
      <c r="B50" s="5">
        <v>2485.27</v>
      </c>
      <c r="C50" s="5">
        <v>5832.51</v>
      </c>
      <c r="D50" s="6">
        <v>1.34683153138291</v>
      </c>
    </row>
    <row r="51" spans="1:4">
      <c r="A51" s="3" t="s">
        <v>36</v>
      </c>
      <c r="B51" s="5">
        <v>6136.93</v>
      </c>
      <c r="C51" s="5">
        <v>5040.21</v>
      </c>
      <c r="D51" s="6">
        <v>-0.178708246631459</v>
      </c>
    </row>
    <row r="52" spans="1:4">
      <c r="A52" s="9" t="s">
        <v>8</v>
      </c>
      <c r="B52" s="10">
        <v>635137.6</v>
      </c>
      <c r="C52" s="10">
        <v>383221.279999999</v>
      </c>
      <c r="D52" s="11">
        <v>-0.396632666685142</v>
      </c>
    </row>
  </sheetData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zoomScale="55" zoomScaleNormal="55" topLeftCell="A9" workbookViewId="0">
      <selection activeCell="J47" sqref="J47"/>
    </sheetView>
  </sheetViews>
  <sheetFormatPr defaultColWidth="9.81818181818182" defaultRowHeight="14"/>
  <cols>
    <col min="1" max="1" width="15.2727272727273" style="57" customWidth="1"/>
    <col min="2" max="2" width="13.0909090909091" style="57" customWidth="1"/>
    <col min="3" max="4" width="19.6363636363636" style="57" customWidth="1"/>
    <col min="5" max="7" width="14.1818181818182" style="57" customWidth="1"/>
    <col min="8" max="8" width="9.81818181818182" style="57"/>
    <col min="9" max="9" width="13.0909090909091" style="57" customWidth="1"/>
    <col min="10" max="11" width="19.6363636363636" style="57" customWidth="1"/>
    <col min="12" max="14" width="14.1818181818182" style="57" customWidth="1"/>
    <col min="15" max="16384" width="9.81818181818182" style="57"/>
  </cols>
  <sheetData>
    <row r="1" s="57" customFormat="1" ht="28" customHeight="1" spans="1:14">
      <c r="A1" s="58" t="s">
        <v>39</v>
      </c>
      <c r="B1" s="57" t="s">
        <v>40</v>
      </c>
      <c r="C1" s="57" t="s">
        <v>40</v>
      </c>
      <c r="D1" s="57" t="s">
        <v>40</v>
      </c>
      <c r="E1" s="57" t="s">
        <v>40</v>
      </c>
      <c r="F1" s="57" t="s">
        <v>40</v>
      </c>
      <c r="G1" s="57" t="s">
        <v>40</v>
      </c>
      <c r="H1" s="57" t="s">
        <v>40</v>
      </c>
      <c r="I1" s="57" t="s">
        <v>40</v>
      </c>
      <c r="J1" s="57" t="s">
        <v>40</v>
      </c>
      <c r="K1" s="57" t="s">
        <v>40</v>
      </c>
      <c r="L1" s="57" t="s">
        <v>40</v>
      </c>
      <c r="M1" s="57" t="s">
        <v>40</v>
      </c>
      <c r="N1" s="57" t="s">
        <v>40</v>
      </c>
    </row>
    <row r="2" s="57" customFormat="1" ht="22" customHeight="1" spans="1:14">
      <c r="A2" s="59" t="s">
        <v>41</v>
      </c>
      <c r="B2" s="57" t="s">
        <v>40</v>
      </c>
      <c r="C2" s="57" t="s">
        <v>40</v>
      </c>
      <c r="D2" s="57" t="s">
        <v>40</v>
      </c>
      <c r="E2" s="57" t="s">
        <v>40</v>
      </c>
      <c r="F2" s="57" t="s">
        <v>40</v>
      </c>
      <c r="G2" s="57" t="s">
        <v>40</v>
      </c>
      <c r="H2" s="57" t="s">
        <v>40</v>
      </c>
      <c r="I2" s="57" t="s">
        <v>40</v>
      </c>
      <c r="J2" s="57" t="s">
        <v>40</v>
      </c>
      <c r="K2" s="57" t="s">
        <v>40</v>
      </c>
      <c r="L2" s="57" t="s">
        <v>40</v>
      </c>
      <c r="M2" s="57" t="s">
        <v>40</v>
      </c>
      <c r="N2" s="57" t="s">
        <v>40</v>
      </c>
    </row>
    <row r="37" s="57" customFormat="1" ht="22" customHeight="1" spans="1:14">
      <c r="A37" s="60" t="s">
        <v>42</v>
      </c>
      <c r="B37" s="60" t="s">
        <v>43</v>
      </c>
      <c r="C37" s="60" t="s">
        <v>1</v>
      </c>
      <c r="D37" s="60" t="s">
        <v>2</v>
      </c>
      <c r="E37" s="60" t="s">
        <v>44</v>
      </c>
      <c r="F37" s="60" t="s">
        <v>45</v>
      </c>
      <c r="G37" s="60" t="s">
        <v>46</v>
      </c>
      <c r="I37" s="61" t="s">
        <v>43</v>
      </c>
      <c r="J37" s="61" t="s">
        <v>1</v>
      </c>
      <c r="K37" s="61" t="s">
        <v>2</v>
      </c>
      <c r="L37" s="61" t="s">
        <v>44</v>
      </c>
      <c r="M37" s="61" t="s">
        <v>45</v>
      </c>
      <c r="N37" s="61" t="s">
        <v>46</v>
      </c>
    </row>
    <row r="38" s="57" customFormat="1" spans="1:14">
      <c r="A38" s="62" t="s">
        <v>47</v>
      </c>
      <c r="B38" s="62" t="s">
        <v>48</v>
      </c>
      <c r="C38" s="63">
        <v>2261418.45999998</v>
      </c>
      <c r="D38" s="63">
        <v>1548243.63999997</v>
      </c>
      <c r="E38" s="64">
        <v>0.116810146741365</v>
      </c>
      <c r="F38" s="64">
        <v>0.0935240637428939</v>
      </c>
      <c r="G38" s="64">
        <v>-0.0232860829984711</v>
      </c>
      <c r="I38" s="65" t="s">
        <v>48</v>
      </c>
      <c r="J38" s="63">
        <v>6746051.85999996</v>
      </c>
      <c r="K38" s="63">
        <v>6349785.53999995</v>
      </c>
      <c r="L38" s="64">
        <v>0.348457095239003</v>
      </c>
      <c r="M38" s="64">
        <v>0.383568665973446</v>
      </c>
      <c r="N38" s="64">
        <v>0.0351115707344432</v>
      </c>
    </row>
    <row r="39" s="57" customFormat="1" spans="1:14">
      <c r="A39" s="62" t="s">
        <v>49</v>
      </c>
      <c r="B39" s="62" t="s">
        <v>48</v>
      </c>
      <c r="C39" s="63">
        <v>2331566.67999998</v>
      </c>
      <c r="D39" s="63">
        <v>1898733.93999998</v>
      </c>
      <c r="E39" s="64">
        <v>0.120433546840365</v>
      </c>
      <c r="F39" s="64">
        <v>0.114695975134352</v>
      </c>
      <c r="G39" s="64">
        <v>-0.00573757170601388</v>
      </c>
      <c r="I39" s="65" t="s">
        <v>50</v>
      </c>
      <c r="J39" s="63">
        <v>5163768.7</v>
      </c>
      <c r="K39" s="63">
        <v>4360234.72000002</v>
      </c>
      <c r="L39" s="64">
        <v>0.266726654201572</v>
      </c>
      <c r="M39" s="64">
        <v>0.263386756032318</v>
      </c>
      <c r="N39" s="64">
        <v>-0.00333989816925412</v>
      </c>
    </row>
    <row r="40" s="57" customFormat="1" spans="1:14">
      <c r="A40" s="62" t="s">
        <v>51</v>
      </c>
      <c r="B40" s="62" t="s">
        <v>48</v>
      </c>
      <c r="C40" s="63">
        <v>1269920.37</v>
      </c>
      <c r="D40" s="63">
        <v>875285.769999998</v>
      </c>
      <c r="E40" s="64">
        <v>0.0655958140403388</v>
      </c>
      <c r="F40" s="64">
        <v>0.0528729975255893</v>
      </c>
      <c r="G40" s="64">
        <v>-0.0127228165147495</v>
      </c>
      <c r="I40" s="65" t="s">
        <v>52</v>
      </c>
      <c r="J40" s="63">
        <v>7449957.02</v>
      </c>
      <c r="K40" s="63">
        <v>5844474.68</v>
      </c>
      <c r="L40" s="64">
        <v>0.384816250559425</v>
      </c>
      <c r="M40" s="64">
        <v>0.353044577994236</v>
      </c>
      <c r="N40" s="64">
        <v>-0.031771672565189</v>
      </c>
    </row>
    <row r="41" s="57" customFormat="1" spans="1:14">
      <c r="A41" s="62" t="s">
        <v>53</v>
      </c>
      <c r="B41" s="62" t="s">
        <v>48</v>
      </c>
      <c r="C41" s="63">
        <v>883146.349999999</v>
      </c>
      <c r="D41" s="63">
        <v>2027522.19</v>
      </c>
      <c r="E41" s="64">
        <v>0.0456175876169338</v>
      </c>
      <c r="F41" s="64">
        <v>0.122475629570611</v>
      </c>
      <c r="G41" s="64">
        <v>0.0768580419536777</v>
      </c>
      <c r="I41" s="65" t="s">
        <v>8</v>
      </c>
      <c r="J41" s="63">
        <v>19359777.58</v>
      </c>
      <c r="K41" s="63">
        <v>16554494.94</v>
      </c>
      <c r="L41" s="64">
        <v>1</v>
      </c>
      <c r="M41" s="64">
        <v>1</v>
      </c>
      <c r="N41" s="64">
        <v>0</v>
      </c>
    </row>
    <row r="42" s="57" customFormat="1" spans="1:14">
      <c r="A42" s="62" t="s">
        <v>54</v>
      </c>
      <c r="B42" s="62" t="s">
        <v>50</v>
      </c>
      <c r="C42" s="63">
        <v>869372.56</v>
      </c>
      <c r="D42" s="63">
        <v>817234.939999999</v>
      </c>
      <c r="E42" s="64">
        <v>0.0449061233481383</v>
      </c>
      <c r="F42" s="64">
        <v>0.0493663469022753</v>
      </c>
      <c r="G42" s="64">
        <v>0.00446022355413702</v>
      </c>
    </row>
    <row r="43" s="57" customFormat="1" spans="1:14">
      <c r="A43" s="62" t="s">
        <v>55</v>
      </c>
      <c r="B43" s="62" t="s">
        <v>50</v>
      </c>
      <c r="C43" s="63">
        <v>1912230.01</v>
      </c>
      <c r="D43" s="63">
        <v>709356.65</v>
      </c>
      <c r="E43" s="64">
        <v>0.0987733460313858</v>
      </c>
      <c r="F43" s="64">
        <v>0.042849791103322</v>
      </c>
      <c r="G43" s="64">
        <v>-0.0559235549280637</v>
      </c>
    </row>
    <row r="44" s="57" customFormat="1" spans="1:14">
      <c r="A44" s="62" t="s">
        <v>56</v>
      </c>
      <c r="B44" s="62" t="s">
        <v>50</v>
      </c>
      <c r="C44" s="63">
        <v>993416.09</v>
      </c>
      <c r="D44" s="63">
        <v>2232253.28000002</v>
      </c>
      <c r="E44" s="64">
        <v>0.051313404087156</v>
      </c>
      <c r="F44" s="64">
        <v>0.134842729306487</v>
      </c>
      <c r="G44" s="64">
        <v>0.0835293252193306</v>
      </c>
    </row>
    <row r="45" s="57" customFormat="1" spans="1:14">
      <c r="A45" s="62" t="s">
        <v>57</v>
      </c>
      <c r="B45" s="62" t="s">
        <v>50</v>
      </c>
      <c r="C45" s="63">
        <v>1388750.04</v>
      </c>
      <c r="D45" s="63">
        <v>601389.85</v>
      </c>
      <c r="E45" s="64">
        <v>0.0717337807348922</v>
      </c>
      <c r="F45" s="64">
        <v>0.0363278887202343</v>
      </c>
      <c r="G45" s="64">
        <v>-0.035405892014658</v>
      </c>
    </row>
    <row r="46" s="57" customFormat="1" spans="1:14">
      <c r="A46" s="62" t="s">
        <v>58</v>
      </c>
      <c r="B46" s="62" t="s">
        <v>52</v>
      </c>
      <c r="C46" s="63">
        <v>5056260.07</v>
      </c>
      <c r="D46" s="63">
        <v>3535213.7</v>
      </c>
      <c r="E46" s="64">
        <v>0.261173458688052</v>
      </c>
      <c r="F46" s="64">
        <v>0.213550078864563</v>
      </c>
      <c r="G46" s="64">
        <v>-0.0476233798234894</v>
      </c>
    </row>
    <row r="47" s="57" customFormat="1" spans="1:14">
      <c r="A47" s="62" t="s">
        <v>59</v>
      </c>
      <c r="B47" s="62" t="s">
        <v>52</v>
      </c>
      <c r="C47" s="63">
        <v>697314.44</v>
      </c>
      <c r="D47" s="63">
        <v>701325.05</v>
      </c>
      <c r="E47" s="64">
        <v>0.0360187216572351</v>
      </c>
      <c r="F47" s="64">
        <v>0.0423646298205943</v>
      </c>
      <c r="G47" s="64">
        <v>0.00634590816335914</v>
      </c>
    </row>
    <row r="48" s="57" customFormat="1" spans="1:14">
      <c r="A48" s="62" t="s">
        <v>60</v>
      </c>
      <c r="B48" s="62" t="s">
        <v>52</v>
      </c>
      <c r="C48" s="63">
        <v>251421.84</v>
      </c>
      <c r="D48" s="63">
        <v>172696.51</v>
      </c>
      <c r="E48" s="64">
        <v>0.0129868144900454</v>
      </c>
      <c r="F48" s="64">
        <v>0.0104320011347927</v>
      </c>
      <c r="G48" s="64">
        <v>-0.0025548133552527</v>
      </c>
    </row>
    <row r="49" s="57" customFormat="1" spans="1:7">
      <c r="A49" s="62" t="s">
        <v>61</v>
      </c>
      <c r="B49" s="62" t="s">
        <v>52</v>
      </c>
      <c r="C49" s="63">
        <v>78213.86</v>
      </c>
      <c r="D49" s="63">
        <v>94975.77</v>
      </c>
      <c r="E49" s="64">
        <v>0.00404001852174172</v>
      </c>
      <c r="F49" s="64">
        <v>0.00573715902201968</v>
      </c>
      <c r="G49" s="64">
        <v>0.00169714050027796</v>
      </c>
    </row>
    <row r="50" s="57" customFormat="1" spans="1:7">
      <c r="A50" s="62" t="s">
        <v>62</v>
      </c>
      <c r="B50" s="62" t="s">
        <v>52</v>
      </c>
      <c r="C50" s="63">
        <v>222517.83</v>
      </c>
      <c r="D50" s="63">
        <v>119673.72</v>
      </c>
      <c r="E50" s="64">
        <v>0.0114938216144527</v>
      </c>
      <c r="F50" s="64">
        <v>0.00722907708351991</v>
      </c>
      <c r="G50" s="64">
        <v>-0.00426474453093277</v>
      </c>
    </row>
    <row r="51" s="57" customFormat="1" spans="1:7">
      <c r="A51" s="62" t="s">
        <v>63</v>
      </c>
      <c r="B51" s="62" t="s">
        <v>52</v>
      </c>
      <c r="C51" s="63">
        <v>224275.86</v>
      </c>
      <c r="D51" s="63">
        <v>89687.75</v>
      </c>
      <c r="E51" s="64">
        <v>0.0115846299924279</v>
      </c>
      <c r="F51" s="64">
        <v>0.00541772795395232</v>
      </c>
      <c r="G51" s="64">
        <v>-0.00616690203847554</v>
      </c>
    </row>
    <row r="52" s="57" customFormat="1" spans="1:7">
      <c r="A52" s="62" t="s">
        <v>64</v>
      </c>
      <c r="B52" s="62" t="s">
        <v>52</v>
      </c>
      <c r="C52" s="63">
        <v>350523.23</v>
      </c>
      <c r="D52" s="63">
        <v>554975.74</v>
      </c>
      <c r="E52" s="64">
        <v>0.01810574675001</v>
      </c>
      <c r="F52" s="64">
        <v>0.0335241722572299</v>
      </c>
      <c r="G52" s="64">
        <v>0.01541842550722</v>
      </c>
    </row>
    <row r="53" s="57" customFormat="1" spans="1:7">
      <c r="A53" s="62" t="s">
        <v>65</v>
      </c>
      <c r="B53" s="62" t="s">
        <v>52</v>
      </c>
      <c r="C53" s="63">
        <v>569429.89</v>
      </c>
      <c r="D53" s="63">
        <v>575926.44</v>
      </c>
      <c r="E53" s="64">
        <v>0.0294130388454598</v>
      </c>
      <c r="F53" s="64">
        <v>0.034789731857564</v>
      </c>
      <c r="G53" s="64">
        <v>0.00537669301210428</v>
      </c>
    </row>
  </sheetData>
  <mergeCells count="2">
    <mergeCell ref="A1:N1"/>
    <mergeCell ref="A2:N2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"/>
  <sheetViews>
    <sheetView zoomScale="60" zoomScaleNormal="60" workbookViewId="0">
      <selection activeCell="J51" sqref="J51"/>
    </sheetView>
  </sheetViews>
  <sheetFormatPr defaultColWidth="9.81818181818182" defaultRowHeight="14"/>
  <cols>
    <col min="1" max="1" width="15.2727272727273" style="57" customWidth="1"/>
    <col min="2" max="2" width="13.0909090909091" style="57" customWidth="1"/>
    <col min="3" max="4" width="19.6363636363636" style="57" customWidth="1"/>
    <col min="5" max="7" width="14.1818181818182" style="57" customWidth="1"/>
    <col min="8" max="8" width="9.81818181818182" style="57"/>
    <col min="9" max="9" width="13.0909090909091" style="57" customWidth="1"/>
    <col min="10" max="11" width="19.6363636363636" style="57" customWidth="1"/>
    <col min="12" max="14" width="14.1818181818182" style="57" customWidth="1"/>
    <col min="15" max="16384" width="9.81818181818182" style="57"/>
  </cols>
  <sheetData>
    <row r="1" s="57" customFormat="1" ht="28" customHeight="1" spans="1:14">
      <c r="A1" s="58" t="s">
        <v>66</v>
      </c>
      <c r="B1" s="57" t="s">
        <v>40</v>
      </c>
      <c r="C1" s="57" t="s">
        <v>40</v>
      </c>
      <c r="D1" s="57" t="s">
        <v>40</v>
      </c>
      <c r="E1" s="57" t="s">
        <v>40</v>
      </c>
      <c r="F1" s="57" t="s">
        <v>40</v>
      </c>
      <c r="G1" s="57" t="s">
        <v>40</v>
      </c>
      <c r="H1" s="57" t="s">
        <v>40</v>
      </c>
      <c r="I1" s="57" t="s">
        <v>40</v>
      </c>
      <c r="J1" s="57" t="s">
        <v>40</v>
      </c>
      <c r="K1" s="57" t="s">
        <v>40</v>
      </c>
      <c r="L1" s="57" t="s">
        <v>40</v>
      </c>
      <c r="M1" s="57" t="s">
        <v>40</v>
      </c>
      <c r="N1" s="57" t="s">
        <v>40</v>
      </c>
    </row>
    <row r="2" s="57" customFormat="1" ht="22" customHeight="1" spans="1:14">
      <c r="A2" s="59" t="s">
        <v>67</v>
      </c>
      <c r="B2" s="57" t="s">
        <v>40</v>
      </c>
      <c r="C2" s="57" t="s">
        <v>40</v>
      </c>
      <c r="D2" s="57" t="s">
        <v>40</v>
      </c>
      <c r="E2" s="57" t="s">
        <v>40</v>
      </c>
      <c r="F2" s="57" t="s">
        <v>40</v>
      </c>
      <c r="G2" s="57" t="s">
        <v>40</v>
      </c>
      <c r="H2" s="57" t="s">
        <v>40</v>
      </c>
      <c r="I2" s="57" t="s">
        <v>40</v>
      </c>
      <c r="J2" s="57" t="s">
        <v>40</v>
      </c>
      <c r="K2" s="57" t="s">
        <v>40</v>
      </c>
      <c r="L2" s="57" t="s">
        <v>40</v>
      </c>
      <c r="M2" s="57" t="s">
        <v>40</v>
      </c>
      <c r="N2" s="57" t="s">
        <v>40</v>
      </c>
    </row>
    <row r="37" s="57" customFormat="1" ht="22" customHeight="1" spans="1:14">
      <c r="A37" s="60" t="s">
        <v>42</v>
      </c>
      <c r="B37" s="60" t="s">
        <v>43</v>
      </c>
      <c r="C37" s="60" t="s">
        <v>1</v>
      </c>
      <c r="D37" s="60" t="s">
        <v>2</v>
      </c>
      <c r="E37" s="60" t="s">
        <v>44</v>
      </c>
      <c r="F37" s="60" t="s">
        <v>45</v>
      </c>
      <c r="G37" s="60" t="s">
        <v>46</v>
      </c>
      <c r="I37" s="61" t="s">
        <v>43</v>
      </c>
      <c r="J37" s="61" t="s">
        <v>1</v>
      </c>
      <c r="K37" s="61" t="s">
        <v>2</v>
      </c>
      <c r="L37" s="61" t="s">
        <v>44</v>
      </c>
      <c r="M37" s="61" t="s">
        <v>45</v>
      </c>
      <c r="N37" s="61" t="s">
        <v>46</v>
      </c>
    </row>
    <row r="38" s="57" customFormat="1" spans="1:14">
      <c r="A38" s="62" t="s">
        <v>47</v>
      </c>
      <c r="B38" s="62" t="s">
        <v>48</v>
      </c>
      <c r="C38" s="63">
        <v>21443.09</v>
      </c>
      <c r="D38" s="63">
        <v>20764.66</v>
      </c>
      <c r="E38" s="64">
        <v>0.033761329828371</v>
      </c>
      <c r="F38" s="64">
        <v>0.0541845171019731</v>
      </c>
      <c r="G38" s="64">
        <v>0.0204231872736021</v>
      </c>
      <c r="I38" s="65" t="s">
        <v>48</v>
      </c>
      <c r="J38" s="63">
        <v>360903.33</v>
      </c>
      <c r="K38" s="63">
        <v>195408.59</v>
      </c>
      <c r="L38" s="64">
        <v>0.568228569683168</v>
      </c>
      <c r="M38" s="64">
        <v>0.509910592647674</v>
      </c>
      <c r="N38" s="64">
        <v>-0.0583179770354942</v>
      </c>
    </row>
    <row r="39" s="57" customFormat="1" spans="1:14">
      <c r="A39" s="62" t="s">
        <v>49</v>
      </c>
      <c r="B39" s="62" t="s">
        <v>48</v>
      </c>
      <c r="C39" s="63">
        <v>127254.42</v>
      </c>
      <c r="D39" s="63">
        <v>83828.81</v>
      </c>
      <c r="E39" s="64">
        <v>0.200357245422094</v>
      </c>
      <c r="F39" s="64">
        <v>0.218747795007626</v>
      </c>
      <c r="G39" s="64">
        <v>0.0183905495855316</v>
      </c>
      <c r="I39" s="65" t="s">
        <v>50</v>
      </c>
      <c r="J39" s="63">
        <v>170252.54</v>
      </c>
      <c r="K39" s="63">
        <v>119658.07</v>
      </c>
      <c r="L39" s="64">
        <v>0.268056150352302</v>
      </c>
      <c r="M39" s="64">
        <v>0.312242759587881</v>
      </c>
      <c r="N39" s="64">
        <v>0.0441866092355793</v>
      </c>
    </row>
    <row r="40" s="57" customFormat="1" spans="1:14">
      <c r="A40" s="62" t="s">
        <v>51</v>
      </c>
      <c r="B40" s="62" t="s">
        <v>48</v>
      </c>
      <c r="C40" s="63">
        <v>28580.45</v>
      </c>
      <c r="D40" s="63">
        <v>27934.13</v>
      </c>
      <c r="E40" s="64">
        <v>0.0449988317492147</v>
      </c>
      <c r="F40" s="64">
        <v>0.0728929510386271</v>
      </c>
      <c r="G40" s="64">
        <v>0.0278941192894124</v>
      </c>
      <c r="I40" s="65" t="s">
        <v>52</v>
      </c>
      <c r="J40" s="63">
        <v>103981.73</v>
      </c>
      <c r="K40" s="63">
        <v>68154.62</v>
      </c>
      <c r="L40" s="64">
        <v>0.163715279964531</v>
      </c>
      <c r="M40" s="64">
        <v>0.177846647764446</v>
      </c>
      <c r="N40" s="64">
        <v>0.0141313677999151</v>
      </c>
    </row>
    <row r="41" s="57" customFormat="1" spans="1:14">
      <c r="A41" s="62" t="s">
        <v>53</v>
      </c>
      <c r="B41" s="62" t="s">
        <v>48</v>
      </c>
      <c r="C41" s="63">
        <v>183625.37</v>
      </c>
      <c r="D41" s="63">
        <v>62880.99</v>
      </c>
      <c r="E41" s="64">
        <v>0.289111162683488</v>
      </c>
      <c r="F41" s="64">
        <v>0.164085329499447</v>
      </c>
      <c r="G41" s="64">
        <v>-0.12502583318404</v>
      </c>
      <c r="I41" s="65" t="s">
        <v>8</v>
      </c>
      <c r="J41" s="63">
        <v>635137.6</v>
      </c>
      <c r="K41" s="63">
        <v>383221.28</v>
      </c>
      <c r="L41" s="64">
        <v>1</v>
      </c>
      <c r="M41" s="64">
        <v>1</v>
      </c>
      <c r="N41" s="64">
        <v>0</v>
      </c>
    </row>
    <row r="42" s="57" customFormat="1" spans="1:14">
      <c r="A42" s="62" t="s">
        <v>54</v>
      </c>
      <c r="B42" s="62" t="s">
        <v>50</v>
      </c>
      <c r="C42" s="63">
        <v>26947.72</v>
      </c>
      <c r="D42" s="63">
        <v>30950.73</v>
      </c>
      <c r="E42" s="64">
        <v>0.0424281604490114</v>
      </c>
      <c r="F42" s="64">
        <v>0.0807646433413092</v>
      </c>
      <c r="G42" s="64">
        <v>0.0383364828922978</v>
      </c>
    </row>
    <row r="43" s="57" customFormat="1" spans="1:14">
      <c r="A43" s="62" t="s">
        <v>55</v>
      </c>
      <c r="B43" s="62" t="s">
        <v>50</v>
      </c>
      <c r="C43" s="63">
        <v>21125.89</v>
      </c>
      <c r="D43" s="63">
        <v>17488.9</v>
      </c>
      <c r="E43" s="64">
        <v>0.0332619104899474</v>
      </c>
      <c r="F43" s="64">
        <v>0.0456365575523364</v>
      </c>
      <c r="G43" s="64">
        <v>0.012374647062389</v>
      </c>
    </row>
    <row r="44" s="57" customFormat="1" spans="1:14">
      <c r="A44" s="62" t="s">
        <v>56</v>
      </c>
      <c r="B44" s="62" t="s">
        <v>50</v>
      </c>
      <c r="C44" s="63">
        <v>119338.77</v>
      </c>
      <c r="D44" s="63">
        <v>30426.96</v>
      </c>
      <c r="E44" s="64">
        <v>0.187894355490842</v>
      </c>
      <c r="F44" s="64">
        <v>0.0793978872989516</v>
      </c>
      <c r="G44" s="64">
        <v>-0.10849646819189</v>
      </c>
    </row>
    <row r="45" s="57" customFormat="1" spans="1:14">
      <c r="A45" s="62" t="s">
        <v>57</v>
      </c>
      <c r="B45" s="62" t="s">
        <v>50</v>
      </c>
      <c r="C45" s="63">
        <v>2840.16</v>
      </c>
      <c r="D45" s="63">
        <v>40791.48</v>
      </c>
      <c r="E45" s="64">
        <v>0.0044717239225012</v>
      </c>
      <c r="F45" s="64">
        <v>0.106443671395284</v>
      </c>
      <c r="G45" s="64">
        <v>0.101971947472782</v>
      </c>
    </row>
    <row r="46" s="57" customFormat="1" spans="1:14">
      <c r="A46" s="62" t="s">
        <v>58</v>
      </c>
      <c r="B46" s="62" t="s">
        <v>52</v>
      </c>
      <c r="C46" s="63">
        <v>37948</v>
      </c>
      <c r="D46" s="63">
        <v>47775.36</v>
      </c>
      <c r="E46" s="64">
        <v>0.0597476830217578</v>
      </c>
      <c r="F46" s="64">
        <v>0.124667815941745</v>
      </c>
      <c r="G46" s="64">
        <v>0.0649201329199874</v>
      </c>
    </row>
    <row r="47" s="57" customFormat="1" spans="1:14">
      <c r="A47" s="62" t="s">
        <v>59</v>
      </c>
      <c r="B47" s="62" t="s">
        <v>52</v>
      </c>
      <c r="C47" s="63">
        <v>20174.27</v>
      </c>
      <c r="D47" s="63">
        <v>799.96</v>
      </c>
      <c r="E47" s="64">
        <v>0.0317636209854369</v>
      </c>
      <c r="F47" s="64">
        <v>0.00208746236639051</v>
      </c>
      <c r="G47" s="64">
        <v>-0.0296761586190463</v>
      </c>
    </row>
    <row r="48" s="57" customFormat="1" spans="1:14">
      <c r="A48" s="62" t="s">
        <v>60</v>
      </c>
      <c r="B48" s="62" t="s">
        <v>52</v>
      </c>
      <c r="C48" s="63">
        <v>0</v>
      </c>
      <c r="D48" s="63">
        <v>17301</v>
      </c>
      <c r="E48" s="64">
        <v>0</v>
      </c>
      <c r="F48" s="64">
        <v>0.0451462403131684</v>
      </c>
      <c r="G48" s="64">
        <v>0.0451462403131684</v>
      </c>
    </row>
    <row r="49" s="57" customFormat="1" spans="1:7">
      <c r="A49" s="62" t="s">
        <v>61</v>
      </c>
      <c r="B49" s="62" t="s">
        <v>52</v>
      </c>
      <c r="C49" s="63">
        <v>21947</v>
      </c>
      <c r="D49" s="63">
        <v>2278.3</v>
      </c>
      <c r="E49" s="64">
        <v>0.0345547169621197</v>
      </c>
      <c r="F49" s="64">
        <v>0.00594512914314153</v>
      </c>
      <c r="G49" s="64">
        <v>-0.0286095878189782</v>
      </c>
    </row>
    <row r="50" s="57" customFormat="1" spans="1:7">
      <c r="A50" s="62" t="s">
        <v>62</v>
      </c>
      <c r="B50" s="62" t="s">
        <v>52</v>
      </c>
      <c r="C50" s="63">
        <v>23912.46</v>
      </c>
      <c r="D50" s="63">
        <v>0</v>
      </c>
      <c r="E50" s="64">
        <v>0.0376492589952162</v>
      </c>
      <c r="F50" s="64">
        <v>0</v>
      </c>
      <c r="G50" s="64">
        <v>-0.0376492589952162</v>
      </c>
    </row>
  </sheetData>
  <mergeCells count="2">
    <mergeCell ref="A1:N1"/>
    <mergeCell ref="A2:N2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zoomScale="70" zoomScaleNormal="70" topLeftCell="A13" workbookViewId="0">
      <selection activeCell="I25" sqref="I25"/>
    </sheetView>
  </sheetViews>
  <sheetFormatPr defaultColWidth="9" defaultRowHeight="14" outlineLevelCol="3"/>
  <cols>
    <col min="1" max="4" width="12.7090909090909" style="51" customWidth="1"/>
    <col min="5" max="16384" width="9" style="51"/>
  </cols>
  <sheetData>
    <row r="1" s="51" customFormat="1" ht="20" spans="1:4">
      <c r="A1" s="52" t="s">
        <v>68</v>
      </c>
      <c r="B1" s="52"/>
      <c r="C1" s="52"/>
      <c r="D1" s="52"/>
    </row>
    <row r="3" s="51" customFormat="1" ht="16.5" spans="1:4">
      <c r="A3" s="53" t="s">
        <v>69</v>
      </c>
      <c r="B3" s="53" t="s">
        <v>48</v>
      </c>
      <c r="C3" s="53" t="s">
        <v>50</v>
      </c>
      <c r="D3" s="53" t="s">
        <v>52</v>
      </c>
    </row>
    <row r="4" s="51" customFormat="1" ht="16.5" spans="1:4">
      <c r="A4" s="54" t="s">
        <v>70</v>
      </c>
      <c r="B4" s="55">
        <v>0.507003488265816</v>
      </c>
      <c r="C4" s="55">
        <v>0.195662531670916</v>
      </c>
      <c r="D4" s="55">
        <v>0.297333980063268</v>
      </c>
    </row>
    <row r="5" s="51" customFormat="1" ht="16.5" spans="1:4">
      <c r="A5" s="54" t="s">
        <v>71</v>
      </c>
      <c r="B5" s="55">
        <v>0.433921498362521</v>
      </c>
      <c r="C5" s="55">
        <v>0.226708511286727</v>
      </c>
      <c r="D5" s="55">
        <v>0.339369990350752</v>
      </c>
    </row>
    <row r="6" s="51" customFormat="1" ht="16.5" spans="1:4">
      <c r="A6" s="54" t="s">
        <v>72</v>
      </c>
      <c r="B6" s="55">
        <v>0.512440933696472</v>
      </c>
      <c r="C6" s="55">
        <v>0.224445270481457</v>
      </c>
      <c r="D6" s="55">
        <v>0.263113795822071</v>
      </c>
    </row>
    <row r="7" s="51" customFormat="1" ht="16.5" spans="1:4">
      <c r="A7" s="54" t="s">
        <v>73</v>
      </c>
      <c r="B7" s="55">
        <v>0.485307180180478</v>
      </c>
      <c r="C7" s="55">
        <v>0.196699858185623</v>
      </c>
      <c r="D7" s="55">
        <v>0.317992961633899</v>
      </c>
    </row>
    <row r="8" s="51" customFormat="1" ht="16.5" spans="1:4">
      <c r="A8" s="54" t="s">
        <v>74</v>
      </c>
      <c r="B8" s="55">
        <v>0.427873691462659</v>
      </c>
      <c r="C8" s="55">
        <v>0.20709192952775</v>
      </c>
      <c r="D8" s="55">
        <v>0.365034379009592</v>
      </c>
    </row>
    <row r="9" s="51" customFormat="1" ht="16.5" spans="1:4">
      <c r="A9" s="54" t="s">
        <v>75</v>
      </c>
      <c r="B9" s="55">
        <v>0.433060184739943</v>
      </c>
      <c r="C9" s="55">
        <v>0.295362430887932</v>
      </c>
      <c r="D9" s="55">
        <v>0.271577384372125</v>
      </c>
    </row>
    <row r="10" s="51" customFormat="1" ht="16.5" spans="1:4">
      <c r="A10" s="54" t="s">
        <v>76</v>
      </c>
      <c r="B10" s="55">
        <v>0.419403345880817</v>
      </c>
      <c r="C10" s="55">
        <v>0.326454649622864</v>
      </c>
      <c r="D10" s="55">
        <v>0.254142004496319</v>
      </c>
    </row>
    <row r="11" s="51" customFormat="1" ht="16.5" spans="1:4">
      <c r="A11" s="54" t="s">
        <v>77</v>
      </c>
      <c r="B11" s="55">
        <v>0.470929525762578</v>
      </c>
      <c r="C11" s="55">
        <v>0.193183278013556</v>
      </c>
      <c r="D11" s="55">
        <v>0.335887196223867</v>
      </c>
    </row>
    <row r="12" s="51" customFormat="1" ht="16.5" spans="1:4">
      <c r="A12" s="54" t="s">
        <v>78</v>
      </c>
      <c r="B12" s="55">
        <v>0.479871220038169</v>
      </c>
      <c r="C12" s="55">
        <v>0.221304318722607</v>
      </c>
      <c r="D12" s="55">
        <v>0.298824461239225</v>
      </c>
    </row>
    <row r="13" s="51" customFormat="1" ht="16.5" spans="1:4">
      <c r="A13" s="54" t="s">
        <v>79</v>
      </c>
      <c r="B13" s="55">
        <v>0.457236040824767</v>
      </c>
      <c r="C13" s="55">
        <v>0.215915873115705</v>
      </c>
      <c r="D13" s="55">
        <v>0.326848086059528</v>
      </c>
    </row>
    <row r="14" s="51" customFormat="1" ht="16.5" spans="1:4">
      <c r="A14" s="54" t="s">
        <v>80</v>
      </c>
      <c r="B14" s="55">
        <v>0.456639104746713</v>
      </c>
      <c r="C14" s="55">
        <v>0.214415886570239</v>
      </c>
      <c r="D14" s="55">
        <v>0.328945008683049</v>
      </c>
    </row>
    <row r="15" s="51" customFormat="1" ht="16.5" spans="1:4">
      <c r="A15" s="54" t="s">
        <v>81</v>
      </c>
      <c r="B15" s="55">
        <v>0.488443156745184</v>
      </c>
      <c r="C15" s="55">
        <v>0.222489741937034</v>
      </c>
      <c r="D15" s="55">
        <v>0.289067101317782</v>
      </c>
    </row>
    <row r="16" s="51" customFormat="1" ht="16.5" spans="1:4">
      <c r="A16" s="54" t="s">
        <v>82</v>
      </c>
      <c r="B16" s="55">
        <v>0.423064584173622</v>
      </c>
      <c r="C16" s="55">
        <v>0.238813338547089</v>
      </c>
      <c r="D16" s="55">
        <v>0.338122077279289</v>
      </c>
    </row>
    <row r="20" s="51" customFormat="1" ht="16.5" spans="1:4">
      <c r="A20" s="53" t="s">
        <v>83</v>
      </c>
    </row>
    <row r="21" s="51" customFormat="1" ht="16.5" spans="1:4">
      <c r="A21" s="53" t="s">
        <v>69</v>
      </c>
      <c r="B21" s="53" t="s">
        <v>48</v>
      </c>
      <c r="C21" s="53" t="s">
        <v>50</v>
      </c>
      <c r="D21" s="53" t="s">
        <v>52</v>
      </c>
    </row>
    <row r="22" s="51" customFormat="1" ht="16.5" spans="1:4">
      <c r="A22" s="54" t="s">
        <v>70</v>
      </c>
      <c r="B22" s="56">
        <v>14507922.79</v>
      </c>
      <c r="C22" s="56">
        <v>5598890.28</v>
      </c>
      <c r="D22" s="56">
        <v>8508222.38</v>
      </c>
    </row>
    <row r="23" s="51" customFormat="1" ht="16.5" spans="1:4">
      <c r="A23" s="54" t="s">
        <v>71</v>
      </c>
      <c r="B23" s="56">
        <v>17712634.87</v>
      </c>
      <c r="C23" s="56">
        <v>9254220.17</v>
      </c>
      <c r="D23" s="56">
        <v>13853051.18</v>
      </c>
    </row>
    <row r="24" s="51" customFormat="1" ht="16.5" spans="1:4">
      <c r="A24" s="54" t="s">
        <v>72</v>
      </c>
      <c r="B24" s="56">
        <v>16315018.78</v>
      </c>
      <c r="C24" s="56">
        <v>7145855.38</v>
      </c>
      <c r="D24" s="56">
        <v>8376978.18</v>
      </c>
    </row>
    <row r="25" s="51" customFormat="1" ht="16.5" spans="1:4">
      <c r="A25" s="54" t="s">
        <v>73</v>
      </c>
      <c r="B25" s="56">
        <v>12607125.51</v>
      </c>
      <c r="C25" s="56">
        <v>5109794.17</v>
      </c>
      <c r="D25" s="56">
        <v>8260700.32</v>
      </c>
    </row>
    <row r="26" s="51" customFormat="1" ht="16.5" spans="1:4">
      <c r="A26" s="54" t="s">
        <v>74</v>
      </c>
      <c r="B26" s="56">
        <v>15219191.89</v>
      </c>
      <c r="C26" s="56">
        <v>7366126.68</v>
      </c>
      <c r="D26" s="56">
        <v>12984037.98</v>
      </c>
    </row>
    <row r="27" s="51" customFormat="1" ht="16.5" spans="1:4">
      <c r="A27" s="54" t="s">
        <v>75</v>
      </c>
      <c r="B27" s="56">
        <v>25925365.36</v>
      </c>
      <c r="C27" s="56">
        <v>17682020.2</v>
      </c>
      <c r="D27" s="56">
        <v>16258116.45</v>
      </c>
    </row>
    <row r="28" s="51" customFormat="1" ht="16.5" spans="1:4">
      <c r="A28" s="54" t="s">
        <v>76</v>
      </c>
      <c r="B28" s="56">
        <v>22998796.16</v>
      </c>
      <c r="C28" s="56">
        <v>17901774.07</v>
      </c>
      <c r="D28" s="56">
        <v>13936369.88</v>
      </c>
    </row>
    <row r="29" s="51" customFormat="1" ht="16.5" spans="1:4">
      <c r="A29" s="54" t="s">
        <v>77</v>
      </c>
      <c r="B29" s="56">
        <v>17180937.9</v>
      </c>
      <c r="C29" s="56">
        <v>7047912.1</v>
      </c>
      <c r="D29" s="56">
        <v>12254184</v>
      </c>
    </row>
    <row r="30" s="51" customFormat="1" ht="16.5" spans="1:4">
      <c r="A30" s="54" t="s">
        <v>78</v>
      </c>
      <c r="B30" s="56">
        <v>11828525.76</v>
      </c>
      <c r="C30" s="56">
        <v>5455013.19</v>
      </c>
      <c r="D30" s="56">
        <v>7365836.27</v>
      </c>
    </row>
    <row r="31" s="51" customFormat="1" ht="16.5" spans="1:4">
      <c r="A31" s="54" t="s">
        <v>79</v>
      </c>
      <c r="B31" s="56">
        <v>12659970.78</v>
      </c>
      <c r="C31" s="56">
        <v>5978287.8</v>
      </c>
      <c r="D31" s="56">
        <v>9049783.59</v>
      </c>
    </row>
    <row r="32" s="51" customFormat="1" ht="16.5" spans="1:4">
      <c r="A32" s="54" t="s">
        <v>80</v>
      </c>
      <c r="B32" s="56">
        <v>11869962.81</v>
      </c>
      <c r="C32" s="56">
        <v>5573566.9</v>
      </c>
      <c r="D32" s="56">
        <v>8550658.45</v>
      </c>
    </row>
    <row r="33" s="51" customFormat="1" ht="16.5" spans="1:4">
      <c r="A33" s="54" t="s">
        <v>81</v>
      </c>
      <c r="B33" s="56">
        <v>14551727.72</v>
      </c>
      <c r="C33" s="56">
        <v>6628427.69</v>
      </c>
      <c r="D33" s="56">
        <v>8611904.36</v>
      </c>
    </row>
    <row r="34" s="51" customFormat="1" ht="16.5" spans="1:4">
      <c r="A34" s="54" t="s">
        <v>82</v>
      </c>
      <c r="B34" s="56">
        <v>15263064.56</v>
      </c>
      <c r="C34" s="56">
        <v>8615761.14</v>
      </c>
      <c r="D34" s="56">
        <v>12198560.9</v>
      </c>
    </row>
  </sheetData>
  <mergeCells count="1">
    <mergeCell ref="A1:D1"/>
  </mergeCell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zoomScale="80" zoomScaleNormal="80" topLeftCell="A7" workbookViewId="0">
      <selection activeCell="A1" sqref="$A1:$XFD1048576"/>
    </sheetView>
  </sheetViews>
  <sheetFormatPr defaultColWidth="9" defaultRowHeight="14" outlineLevelCol="3"/>
  <cols>
    <col min="1" max="4" width="12.7090909090909" style="51" customWidth="1"/>
    <col min="5" max="16384" width="9" style="51"/>
  </cols>
  <sheetData>
    <row r="1" s="51" customFormat="1" ht="20" spans="1:4">
      <c r="A1" s="52" t="s">
        <v>84</v>
      </c>
      <c r="B1" s="52"/>
      <c r="C1" s="52"/>
      <c r="D1" s="52"/>
    </row>
    <row r="3" s="51" customFormat="1" ht="16.5" spans="1:4">
      <c r="A3" s="53" t="s">
        <v>69</v>
      </c>
      <c r="B3" s="53" t="s">
        <v>48</v>
      </c>
      <c r="C3" s="53" t="s">
        <v>50</v>
      </c>
      <c r="D3" s="53" t="s">
        <v>52</v>
      </c>
    </row>
    <row r="4" s="51" customFormat="1" ht="16.5" spans="1:4">
      <c r="A4" s="54" t="s">
        <v>70</v>
      </c>
      <c r="B4" s="55">
        <v>0.482851691812224</v>
      </c>
      <c r="C4" s="55">
        <v>0.220708696304705</v>
      </c>
      <c r="D4" s="55">
        <v>0.296439611883071</v>
      </c>
    </row>
    <row r="5" s="51" customFormat="1" ht="16.5" spans="1:4">
      <c r="A5" s="54" t="s">
        <v>71</v>
      </c>
      <c r="B5" s="55">
        <v>0.505834440983083</v>
      </c>
      <c r="C5" s="55">
        <v>0.268443418893043</v>
      </c>
      <c r="D5" s="55">
        <v>0.225722140123873</v>
      </c>
    </row>
    <row r="6" s="51" customFormat="1" ht="16.5" spans="1:4">
      <c r="A6" s="54" t="s">
        <v>72</v>
      </c>
      <c r="B6" s="55">
        <v>0.462637830438363</v>
      </c>
      <c r="C6" s="55">
        <v>0.225756456708619</v>
      </c>
      <c r="D6" s="55">
        <v>0.311605712853017</v>
      </c>
    </row>
    <row r="7" s="51" customFormat="1" ht="16.5" spans="1:4">
      <c r="A7" s="54" t="s">
        <v>73</v>
      </c>
      <c r="B7" s="55">
        <v>0.459913154529588</v>
      </c>
      <c r="C7" s="55">
        <v>0.277983513465655</v>
      </c>
      <c r="D7" s="55">
        <v>0.262103332004757</v>
      </c>
    </row>
    <row r="8" s="51" customFormat="1" ht="16.5" spans="1:4">
      <c r="A8" s="54" t="s">
        <v>74</v>
      </c>
      <c r="B8" s="55">
        <v>0.480778598058797</v>
      </c>
      <c r="C8" s="55">
        <v>0.33464774199453</v>
      </c>
      <c r="D8" s="55">
        <v>0.184573659946674</v>
      </c>
    </row>
    <row r="9" s="51" customFormat="1" ht="16.5" spans="1:4">
      <c r="A9" s="54" t="s">
        <v>75</v>
      </c>
      <c r="B9" s="55">
        <v>0.576335517390267</v>
      </c>
      <c r="C9" s="55">
        <v>0.313183529762017</v>
      </c>
      <c r="D9" s="55">
        <v>0.110480952847716</v>
      </c>
    </row>
    <row r="10" s="51" customFormat="1" ht="16.5" spans="1:4">
      <c r="A10" s="54" t="s">
        <v>76</v>
      </c>
      <c r="B10" s="55">
        <v>0.625440926837986</v>
      </c>
      <c r="C10" s="55">
        <v>0.312366010528189</v>
      </c>
      <c r="D10" s="55">
        <v>0.062193062633825</v>
      </c>
    </row>
    <row r="11" s="51" customFormat="1" ht="16.5" spans="1:4">
      <c r="A11" s="54" t="s">
        <v>77</v>
      </c>
      <c r="B11" s="55">
        <v>0.517073769947336</v>
      </c>
      <c r="C11" s="55">
        <v>0.210692548882498</v>
      </c>
      <c r="D11" s="55">
        <v>0.272233681170166</v>
      </c>
    </row>
    <row r="12" s="51" customFormat="1" ht="16.5" spans="1:4">
      <c r="A12" s="54" t="s">
        <v>78</v>
      </c>
      <c r="B12" s="55">
        <v>0.454007397227269</v>
      </c>
      <c r="C12" s="55">
        <v>0.312669442978297</v>
      </c>
      <c r="D12" s="55">
        <v>0.233323159794434</v>
      </c>
    </row>
    <row r="13" s="51" customFormat="1" ht="16.5" spans="1:4">
      <c r="A13" s="54" t="s">
        <v>79</v>
      </c>
      <c r="B13" s="55">
        <v>0.457489628928062</v>
      </c>
      <c r="C13" s="55">
        <v>0.329275035609328</v>
      </c>
      <c r="D13" s="55">
        <v>0.21323533546261</v>
      </c>
    </row>
    <row r="14" s="51" customFormat="1" ht="16.5" spans="1:4">
      <c r="A14" s="54" t="s">
        <v>80</v>
      </c>
      <c r="B14" s="55">
        <v>0.517823304291428</v>
      </c>
      <c r="C14" s="55">
        <v>0.236148647880729</v>
      </c>
      <c r="D14" s="55">
        <v>0.246028047827843</v>
      </c>
    </row>
    <row r="15" s="51" customFormat="1" ht="16.5" spans="1:4">
      <c r="A15" s="54" t="s">
        <v>81</v>
      </c>
      <c r="B15" s="55">
        <v>0.462556046476379</v>
      </c>
      <c r="C15" s="55">
        <v>0.257902504771985</v>
      </c>
      <c r="D15" s="55">
        <v>0.279541448751637</v>
      </c>
    </row>
    <row r="16" s="51" customFormat="1" ht="16.5" spans="1:4">
      <c r="A16" s="54" t="s">
        <v>82</v>
      </c>
      <c r="B16" s="55">
        <v>0.454324335702932</v>
      </c>
      <c r="C16" s="55">
        <v>0.277324958369124</v>
      </c>
      <c r="D16" s="55">
        <v>0.268350705927944</v>
      </c>
    </row>
    <row r="20" s="51" customFormat="1" ht="16.5" spans="1:4">
      <c r="A20" s="53" t="s">
        <v>83</v>
      </c>
    </row>
    <row r="21" s="51" customFormat="1" ht="16.5" spans="1:4">
      <c r="A21" s="53" t="s">
        <v>69</v>
      </c>
      <c r="B21" s="53" t="s">
        <v>48</v>
      </c>
      <c r="C21" s="53" t="s">
        <v>50</v>
      </c>
      <c r="D21" s="53" t="s">
        <v>52</v>
      </c>
    </row>
    <row r="22" s="51" customFormat="1" ht="16.5" spans="1:4">
      <c r="A22" s="54" t="s">
        <v>70</v>
      </c>
      <c r="B22" s="56">
        <v>407722.04</v>
      </c>
      <c r="C22" s="56">
        <v>186367.37</v>
      </c>
      <c r="D22" s="56">
        <v>250314.88</v>
      </c>
    </row>
    <row r="23" s="51" customFormat="1" ht="16.5" spans="1:4">
      <c r="A23" s="54" t="s">
        <v>71</v>
      </c>
      <c r="B23" s="56">
        <v>601865.41</v>
      </c>
      <c r="C23" s="56">
        <v>319406.5</v>
      </c>
      <c r="D23" s="56">
        <v>268574.73</v>
      </c>
    </row>
    <row r="24" s="51" customFormat="1" ht="16.5" spans="1:4">
      <c r="A24" s="54" t="s">
        <v>72</v>
      </c>
      <c r="B24" s="56">
        <v>382533.02</v>
      </c>
      <c r="C24" s="56">
        <v>186667.18</v>
      </c>
      <c r="D24" s="56">
        <v>257651.81</v>
      </c>
    </row>
    <row r="25" s="51" customFormat="1" ht="16.5" spans="1:4">
      <c r="A25" s="54" t="s">
        <v>73</v>
      </c>
      <c r="B25" s="56">
        <v>298086.93</v>
      </c>
      <c r="C25" s="56">
        <v>180171.52</v>
      </c>
      <c r="D25" s="56">
        <v>169878.98</v>
      </c>
    </row>
    <row r="26" s="51" customFormat="1" ht="16.5" spans="1:4">
      <c r="A26" s="54" t="s">
        <v>74</v>
      </c>
      <c r="B26" s="56">
        <v>371506.07</v>
      </c>
      <c r="C26" s="56">
        <v>258588.19</v>
      </c>
      <c r="D26" s="56">
        <v>142623.31</v>
      </c>
    </row>
    <row r="27" s="51" customFormat="1" ht="16.5" spans="1:4">
      <c r="A27" s="54" t="s">
        <v>75</v>
      </c>
      <c r="B27" s="56">
        <v>754137.18</v>
      </c>
      <c r="C27" s="56">
        <v>409801.82</v>
      </c>
      <c r="D27" s="56">
        <v>144564.74</v>
      </c>
    </row>
    <row r="28" s="51" customFormat="1" ht="16.5" spans="1:4">
      <c r="A28" s="54" t="s">
        <v>76</v>
      </c>
      <c r="B28" s="56">
        <v>698743.01</v>
      </c>
      <c r="C28" s="56">
        <v>348975.51</v>
      </c>
      <c r="D28" s="56">
        <v>69482.13</v>
      </c>
    </row>
    <row r="29" s="51" customFormat="1" ht="16.5" spans="1:4">
      <c r="A29" s="54" t="s">
        <v>77</v>
      </c>
      <c r="B29" s="56">
        <v>505669.77</v>
      </c>
      <c r="C29" s="56">
        <v>206045.75</v>
      </c>
      <c r="D29" s="56">
        <v>266229.6</v>
      </c>
    </row>
    <row r="30" s="51" customFormat="1" ht="16.5" spans="1:4">
      <c r="A30" s="54" t="s">
        <v>78</v>
      </c>
      <c r="B30" s="56">
        <v>354139.44</v>
      </c>
      <c r="C30" s="56">
        <v>243891.58</v>
      </c>
      <c r="D30" s="56">
        <v>181999.09</v>
      </c>
    </row>
    <row r="31" s="51" customFormat="1" ht="16.5" spans="1:4">
      <c r="A31" s="54" t="s">
        <v>79</v>
      </c>
      <c r="B31" s="56">
        <v>324632.98</v>
      </c>
      <c r="C31" s="56">
        <v>233652.37</v>
      </c>
      <c r="D31" s="56">
        <v>151311.02</v>
      </c>
    </row>
    <row r="32" s="51" customFormat="1" ht="16.5" spans="1:4">
      <c r="A32" s="54" t="s">
        <v>80</v>
      </c>
      <c r="B32" s="56">
        <v>348550.32</v>
      </c>
      <c r="C32" s="56">
        <v>158953.23</v>
      </c>
      <c r="D32" s="56">
        <v>165603.12</v>
      </c>
    </row>
    <row r="33" s="51" customFormat="1" ht="16.5" spans="1:4">
      <c r="A33" s="54" t="s">
        <v>81</v>
      </c>
      <c r="B33" s="56">
        <v>356015.17</v>
      </c>
      <c r="C33" s="56">
        <v>198499.63</v>
      </c>
      <c r="D33" s="56">
        <v>215154.46</v>
      </c>
    </row>
    <row r="34" s="51" customFormat="1" ht="16.5" spans="1:4">
      <c r="A34" s="54" t="s">
        <v>82</v>
      </c>
      <c r="B34" s="56">
        <v>398523.98</v>
      </c>
      <c r="C34" s="56">
        <v>243263.76</v>
      </c>
      <c r="D34" s="56">
        <v>235391.73</v>
      </c>
    </row>
  </sheetData>
  <mergeCells count="1">
    <mergeCell ref="A1:D1"/>
  </mergeCell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3"/>
  <sheetViews>
    <sheetView zoomScale="70" zoomScaleNormal="70" workbookViewId="0">
      <selection activeCell="P14" sqref="P14"/>
    </sheetView>
  </sheetViews>
  <sheetFormatPr defaultColWidth="8.72727272727273" defaultRowHeight="14"/>
  <cols>
    <col min="2" max="2" width="9.48181818181818" customWidth="1"/>
    <col min="4" max="4" width="9.36363636363636"/>
    <col min="5" max="5" width="8.90909090909091"/>
    <col min="7" max="7" width="8.81818181818182"/>
  </cols>
  <sheetData>
    <row r="1" ht="18" customHeight="1" spans="1:39">
      <c r="A1" s="12" t="s">
        <v>85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  <c r="N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</row>
    <row r="2" spans="1:39">
      <c r="A2" s="14" t="s">
        <v>86</v>
      </c>
      <c r="B2" s="14" t="s">
        <v>47</v>
      </c>
      <c r="C2" s="14" t="s">
        <v>49</v>
      </c>
      <c r="D2" s="14" t="s">
        <v>51</v>
      </c>
      <c r="E2" s="14" t="s">
        <v>53</v>
      </c>
      <c r="F2" s="14" t="s">
        <v>54</v>
      </c>
      <c r="G2" s="14" t="s">
        <v>55</v>
      </c>
      <c r="H2" s="14" t="s">
        <v>56</v>
      </c>
      <c r="I2" s="14" t="s">
        <v>57</v>
      </c>
      <c r="J2" s="14" t="s">
        <v>58</v>
      </c>
      <c r="K2" s="14" t="s">
        <v>59</v>
      </c>
      <c r="L2" s="14" t="s">
        <v>8</v>
      </c>
      <c r="M2" s="13"/>
      <c r="N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</row>
    <row r="3" spans="1:39">
      <c r="A3" s="14" t="s">
        <v>87</v>
      </c>
      <c r="B3" s="15">
        <v>0</v>
      </c>
      <c r="C3" s="15">
        <v>-0.03</v>
      </c>
      <c r="D3" s="16">
        <v>-0.35</v>
      </c>
      <c r="E3" s="16">
        <v>-0.38</v>
      </c>
      <c r="F3" s="15">
        <v>-0.01</v>
      </c>
      <c r="G3" s="17">
        <v>0.02</v>
      </c>
      <c r="H3" s="17">
        <v>0.01</v>
      </c>
      <c r="I3" s="15">
        <v>0</v>
      </c>
      <c r="J3" s="15">
        <v>0</v>
      </c>
      <c r="K3" s="15">
        <v>0</v>
      </c>
      <c r="L3" s="16">
        <v>-0.75</v>
      </c>
      <c r="M3" s="13"/>
      <c r="N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</row>
    <row r="4" spans="1:39">
      <c r="A4" s="14" t="s">
        <v>88</v>
      </c>
      <c r="B4" s="15">
        <v>0</v>
      </c>
      <c r="C4" s="15">
        <v>-0.14</v>
      </c>
      <c r="D4" s="17">
        <v>0.04</v>
      </c>
      <c r="E4" s="17">
        <v>0.05</v>
      </c>
      <c r="F4" s="17">
        <v>0</v>
      </c>
      <c r="G4" s="16">
        <v>-0.4</v>
      </c>
      <c r="H4" s="15">
        <v>-0.09</v>
      </c>
      <c r="I4" s="15">
        <v>0</v>
      </c>
      <c r="J4" s="15">
        <v>0</v>
      </c>
      <c r="K4" s="15">
        <v>0</v>
      </c>
      <c r="L4" s="16">
        <v>-0.55</v>
      </c>
      <c r="M4" s="13"/>
      <c r="N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</row>
    <row r="5" spans="1:39">
      <c r="A5" s="14" t="s">
        <v>6</v>
      </c>
      <c r="B5" s="15">
        <v>-0.26</v>
      </c>
      <c r="C5" s="18">
        <v>1.53</v>
      </c>
      <c r="D5" s="18">
        <v>0.88</v>
      </c>
      <c r="E5" s="15">
        <v>-1.84</v>
      </c>
      <c r="F5" s="15">
        <v>-1.38</v>
      </c>
      <c r="G5" s="18">
        <v>1.57</v>
      </c>
      <c r="H5" s="15">
        <v>0</v>
      </c>
      <c r="I5" s="18">
        <v>0.94</v>
      </c>
      <c r="J5" s="17">
        <v>0.03</v>
      </c>
      <c r="K5" s="18">
        <v>0.61</v>
      </c>
      <c r="L5" s="18">
        <v>2.07</v>
      </c>
      <c r="M5" s="13"/>
      <c r="N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</row>
    <row r="6" spans="1:39">
      <c r="A6" s="14" t="s">
        <v>7</v>
      </c>
      <c r="B6" s="15">
        <v>-0.4</v>
      </c>
      <c r="C6" s="18">
        <v>0.67</v>
      </c>
      <c r="D6" s="15">
        <v>-1.12</v>
      </c>
      <c r="E6" s="18">
        <v>0.46</v>
      </c>
      <c r="F6" s="17">
        <v>0.05</v>
      </c>
      <c r="G6" s="18">
        <v>0.58</v>
      </c>
      <c r="H6" s="15">
        <v>0</v>
      </c>
      <c r="I6" s="15">
        <v>0</v>
      </c>
      <c r="J6" s="15">
        <v>0</v>
      </c>
      <c r="K6" s="15">
        <v>0</v>
      </c>
      <c r="L6" s="18">
        <v>0.23</v>
      </c>
      <c r="M6" s="13"/>
      <c r="N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</row>
    <row r="7" spans="1:39">
      <c r="A7" s="14" t="s">
        <v>8</v>
      </c>
      <c r="B7" s="15">
        <v>-0.66</v>
      </c>
      <c r="C7" s="17">
        <v>2.02</v>
      </c>
      <c r="D7" s="17">
        <v>-0.56</v>
      </c>
      <c r="E7" s="17">
        <v>-1.71</v>
      </c>
      <c r="F7" s="17">
        <v>-1.34</v>
      </c>
      <c r="G7" s="17">
        <v>1.76</v>
      </c>
      <c r="H7" s="17">
        <v>-0.09</v>
      </c>
      <c r="I7" s="17">
        <v>0.94</v>
      </c>
      <c r="J7" s="17">
        <v>0.03</v>
      </c>
      <c r="K7" s="17">
        <v>0.61</v>
      </c>
      <c r="L7" s="17">
        <v>1</v>
      </c>
      <c r="M7" s="13"/>
      <c r="N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</row>
    <row r="8" spans="1:39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</row>
    <row r="9" ht="18" customHeight="1" spans="1:39">
      <c r="A9" s="14" t="s">
        <v>89</v>
      </c>
      <c r="B9" s="19" t="s">
        <v>90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</row>
    <row r="10" spans="1:39">
      <c r="A10" s="20"/>
      <c r="B10" s="21"/>
      <c r="C10" s="21"/>
      <c r="D10" s="21"/>
      <c r="E10" s="22"/>
      <c r="F10" s="23"/>
      <c r="G10" s="13"/>
      <c r="H10" s="13"/>
      <c r="I10" s="13"/>
      <c r="J10" s="13"/>
      <c r="K10" s="13"/>
      <c r="L10" s="13"/>
      <c r="M10" s="13"/>
      <c r="N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</row>
    <row r="11" ht="18" spans="1:39">
      <c r="A11" s="24" t="s">
        <v>91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3"/>
      <c r="N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</row>
    <row r="12" spans="1:39">
      <c r="A12" s="25" t="s">
        <v>86</v>
      </c>
      <c r="B12" s="25" t="s">
        <v>47</v>
      </c>
      <c r="C12" s="25" t="s">
        <v>49</v>
      </c>
      <c r="D12" s="25" t="s">
        <v>51</v>
      </c>
      <c r="E12" s="25" t="s">
        <v>53</v>
      </c>
      <c r="F12" s="25" t="s">
        <v>54</v>
      </c>
      <c r="G12" s="25" t="s">
        <v>55</v>
      </c>
      <c r="H12" s="25" t="s">
        <v>56</v>
      </c>
      <c r="I12" s="25" t="s">
        <v>57</v>
      </c>
      <c r="J12" s="25" t="s">
        <v>58</v>
      </c>
      <c r="K12" s="25" t="s">
        <v>59</v>
      </c>
      <c r="L12" s="25" t="s">
        <v>8</v>
      </c>
      <c r="M12" s="13"/>
      <c r="N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</row>
    <row r="13" spans="1:39">
      <c r="A13" s="26" t="s">
        <v>87</v>
      </c>
      <c r="B13" s="27" t="s">
        <v>92</v>
      </c>
      <c r="C13" s="28">
        <v>-1672</v>
      </c>
      <c r="D13" s="28">
        <v>-17149</v>
      </c>
      <c r="E13" s="28">
        <v>-18175</v>
      </c>
      <c r="F13" s="29">
        <v>-402</v>
      </c>
      <c r="G13" s="30" t="s">
        <v>93</v>
      </c>
      <c r="H13" s="30" t="s">
        <v>94</v>
      </c>
      <c r="I13" s="27" t="s">
        <v>92</v>
      </c>
      <c r="J13" s="27" t="s">
        <v>92</v>
      </c>
      <c r="K13" s="27" t="s">
        <v>92</v>
      </c>
      <c r="L13" s="28">
        <v>-36343</v>
      </c>
      <c r="M13" s="13"/>
      <c r="N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</row>
    <row r="14" spans="1:39">
      <c r="A14" s="26" t="s">
        <v>88</v>
      </c>
      <c r="B14" s="27" t="s">
        <v>92</v>
      </c>
      <c r="C14" s="28">
        <v>-6971</v>
      </c>
      <c r="D14" s="30" t="s">
        <v>95</v>
      </c>
      <c r="E14" s="30" t="s">
        <v>96</v>
      </c>
      <c r="F14" s="30" t="s">
        <v>97</v>
      </c>
      <c r="G14" s="28">
        <v>-19468</v>
      </c>
      <c r="H14" s="28">
        <v>-4480</v>
      </c>
      <c r="I14" s="27" t="s">
        <v>92</v>
      </c>
      <c r="J14" s="27" t="s">
        <v>92</v>
      </c>
      <c r="K14" s="27" t="s">
        <v>92</v>
      </c>
      <c r="L14" s="28">
        <v>-26595</v>
      </c>
      <c r="M14" s="13"/>
      <c r="N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</row>
    <row r="15" spans="1:39">
      <c r="A15" s="26" t="s">
        <v>6</v>
      </c>
      <c r="B15" s="28">
        <v>-12549</v>
      </c>
      <c r="C15" s="30" t="s">
        <v>98</v>
      </c>
      <c r="D15" s="30" t="s">
        <v>99</v>
      </c>
      <c r="E15" s="28">
        <v>-88974</v>
      </c>
      <c r="F15" s="28">
        <v>-67039</v>
      </c>
      <c r="G15" s="30" t="s">
        <v>100</v>
      </c>
      <c r="H15" s="27" t="s">
        <v>92</v>
      </c>
      <c r="I15" s="30" t="s">
        <v>101</v>
      </c>
      <c r="J15" s="30" t="s">
        <v>102</v>
      </c>
      <c r="K15" s="30" t="s">
        <v>103</v>
      </c>
      <c r="L15" s="30" t="s">
        <v>104</v>
      </c>
      <c r="M15" s="13"/>
      <c r="N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</row>
    <row r="16" spans="1:39">
      <c r="A16" s="26" t="s">
        <v>7</v>
      </c>
      <c r="B16" s="28">
        <v>-19328</v>
      </c>
      <c r="C16" s="30" t="s">
        <v>105</v>
      </c>
      <c r="D16" s="28">
        <v>-54419</v>
      </c>
      <c r="E16" s="30" t="s">
        <v>106</v>
      </c>
      <c r="F16" s="30" t="s">
        <v>107</v>
      </c>
      <c r="G16" s="30" t="s">
        <v>108</v>
      </c>
      <c r="H16" s="27" t="s">
        <v>92</v>
      </c>
      <c r="I16" s="27" t="s">
        <v>92</v>
      </c>
      <c r="J16" s="27" t="s">
        <v>92</v>
      </c>
      <c r="K16" s="27" t="s">
        <v>92</v>
      </c>
      <c r="L16" s="30" t="s">
        <v>109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</row>
    <row r="17" spans="1:39">
      <c r="A17" s="31" t="s">
        <v>8</v>
      </c>
      <c r="B17" s="32">
        <v>-31877</v>
      </c>
      <c r="C17" s="33" t="s">
        <v>110</v>
      </c>
      <c r="D17" s="32">
        <v>-27005</v>
      </c>
      <c r="E17" s="32">
        <v>-82662</v>
      </c>
      <c r="F17" s="32">
        <v>-65002</v>
      </c>
      <c r="G17" s="33" t="s">
        <v>111</v>
      </c>
      <c r="H17" s="32">
        <v>-4236</v>
      </c>
      <c r="I17" s="33" t="s">
        <v>101</v>
      </c>
      <c r="J17" s="33" t="s">
        <v>102</v>
      </c>
      <c r="K17" s="33" t="s">
        <v>103</v>
      </c>
      <c r="L17" s="33" t="s">
        <v>112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</row>
    <row r="18" spans="1:39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</row>
    <row r="19" ht="18" spans="1:39">
      <c r="A19" s="34" t="s">
        <v>113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</row>
    <row r="20" spans="1:39">
      <c r="A20" s="26" t="s">
        <v>86</v>
      </c>
      <c r="B20" s="26" t="s">
        <v>47</v>
      </c>
      <c r="C20" s="26" t="s">
        <v>49</v>
      </c>
      <c r="D20" s="26" t="s">
        <v>51</v>
      </c>
      <c r="E20" s="26" t="s">
        <v>53</v>
      </c>
      <c r="F20" s="26" t="s">
        <v>54</v>
      </c>
      <c r="G20" s="26" t="s">
        <v>55</v>
      </c>
      <c r="H20" s="26" t="s">
        <v>56</v>
      </c>
      <c r="I20" s="26" t="s">
        <v>57</v>
      </c>
      <c r="J20" s="26" t="s">
        <v>58</v>
      </c>
      <c r="K20" s="26" t="s">
        <v>59</v>
      </c>
      <c r="L20" s="26" t="s">
        <v>8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</row>
    <row r="21" spans="1:39">
      <c r="A21" s="26" t="s">
        <v>87</v>
      </c>
      <c r="B21" s="35" t="s">
        <v>37</v>
      </c>
      <c r="C21" s="36">
        <v>-0.03</v>
      </c>
      <c r="D21" s="36">
        <v>-0.99</v>
      </c>
      <c r="E21" s="36">
        <v>-0.89</v>
      </c>
      <c r="F21" s="36">
        <v>-0.54</v>
      </c>
      <c r="G21" s="35" t="s">
        <v>114</v>
      </c>
      <c r="H21" s="35" t="s">
        <v>114</v>
      </c>
      <c r="I21" s="35" t="s">
        <v>37</v>
      </c>
      <c r="J21" s="35" t="s">
        <v>37</v>
      </c>
      <c r="K21" s="35" t="s">
        <v>37</v>
      </c>
      <c r="L21" s="36">
        <v>-0.4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</row>
    <row r="22" spans="1:39">
      <c r="A22" s="26" t="s">
        <v>88</v>
      </c>
      <c r="B22" s="35" t="s">
        <v>37</v>
      </c>
      <c r="C22" s="36">
        <v>-0.75</v>
      </c>
      <c r="D22" s="35" t="s">
        <v>114</v>
      </c>
      <c r="E22" s="37">
        <v>3.28</v>
      </c>
      <c r="F22" s="35" t="s">
        <v>114</v>
      </c>
      <c r="G22" s="36">
        <v>-1</v>
      </c>
      <c r="H22" s="36">
        <v>-1</v>
      </c>
      <c r="I22" s="35" t="s">
        <v>37</v>
      </c>
      <c r="J22" s="35" t="s">
        <v>37</v>
      </c>
      <c r="K22" s="35" t="s">
        <v>37</v>
      </c>
      <c r="L22" s="36">
        <v>-0.78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</row>
    <row r="23" spans="1:39">
      <c r="A23" s="26" t="s">
        <v>6</v>
      </c>
      <c r="B23" s="36">
        <v>-0.08</v>
      </c>
      <c r="C23" s="37">
        <v>0.3</v>
      </c>
      <c r="D23" s="37">
        <v>0.43</v>
      </c>
      <c r="E23" s="36">
        <v>-0.79</v>
      </c>
      <c r="F23" s="36">
        <v>-1</v>
      </c>
      <c r="G23" s="37">
        <v>117.06</v>
      </c>
      <c r="H23" s="35" t="s">
        <v>37</v>
      </c>
      <c r="I23" s="35" t="s">
        <v>114</v>
      </c>
      <c r="J23" s="35" t="s">
        <v>114</v>
      </c>
      <c r="K23" s="35" t="s">
        <v>114</v>
      </c>
      <c r="L23" s="37">
        <v>0.15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</row>
    <row r="24" spans="1:39">
      <c r="A24" s="26" t="s">
        <v>7</v>
      </c>
      <c r="B24" s="36">
        <v>-0.92</v>
      </c>
      <c r="C24" s="37">
        <v>0.16</v>
      </c>
      <c r="D24" s="36">
        <v>-0.26</v>
      </c>
      <c r="E24" s="37">
        <v>15.06</v>
      </c>
      <c r="F24" s="37">
        <v>0.42</v>
      </c>
      <c r="G24" s="37">
        <v>0.99</v>
      </c>
      <c r="H24" s="35" t="s">
        <v>37</v>
      </c>
      <c r="I24" s="35" t="s">
        <v>37</v>
      </c>
      <c r="J24" s="35" t="s">
        <v>37</v>
      </c>
      <c r="K24" s="35" t="s">
        <v>37</v>
      </c>
      <c r="L24" s="37">
        <v>0.02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</row>
    <row r="25" spans="1:39">
      <c r="A25" s="38" t="s">
        <v>8</v>
      </c>
      <c r="B25" s="39">
        <v>-0.18</v>
      </c>
      <c r="C25" s="40">
        <v>0.19</v>
      </c>
      <c r="D25" s="39">
        <v>-0.08</v>
      </c>
      <c r="E25" s="39">
        <v>-0.61</v>
      </c>
      <c r="F25" s="39">
        <v>-0.88</v>
      </c>
      <c r="G25" s="40">
        <v>1.76</v>
      </c>
      <c r="H25" s="39">
        <v>-0.95</v>
      </c>
      <c r="I25" s="41" t="s">
        <v>114</v>
      </c>
      <c r="J25" s="41" t="s">
        <v>114</v>
      </c>
      <c r="K25" s="41" t="s">
        <v>114</v>
      </c>
      <c r="L25" s="40">
        <v>0.04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</row>
    <row r="26" spans="1:39"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</row>
    <row r="27" spans="1:39">
      <c r="A27" s="42" t="s">
        <v>115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</row>
    <row r="28" spans="1:39">
      <c r="A28" s="43" t="s">
        <v>116</v>
      </c>
      <c r="B28" s="43" t="s">
        <v>1</v>
      </c>
      <c r="C28" s="43" t="s">
        <v>2</v>
      </c>
      <c r="D28" s="43" t="s">
        <v>3</v>
      </c>
      <c r="E28" s="43" t="s">
        <v>117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</row>
    <row r="29" spans="1:39">
      <c r="A29" s="44" t="s">
        <v>118</v>
      </c>
      <c r="B29" s="45">
        <v>69926</v>
      </c>
      <c r="C29" s="45">
        <v>49905</v>
      </c>
      <c r="D29" s="46">
        <v>-0.286</v>
      </c>
      <c r="E29" s="47">
        <v>0.8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</row>
    <row r="30" spans="1:39">
      <c r="A30" s="44" t="s">
        <v>119</v>
      </c>
      <c r="B30" s="45">
        <v>23948</v>
      </c>
      <c r="C30" s="45">
        <v>2962</v>
      </c>
      <c r="D30" s="46">
        <v>-0.876</v>
      </c>
      <c r="E30" s="47">
        <v>0.05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</row>
    <row r="31" spans="1:39">
      <c r="A31" s="44" t="s">
        <v>120</v>
      </c>
      <c r="B31" s="45">
        <v>20022</v>
      </c>
      <c r="C31" s="45">
        <v>2517</v>
      </c>
      <c r="D31" s="46">
        <v>-0.874</v>
      </c>
      <c r="E31" s="47">
        <v>0.04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</row>
    <row r="32" spans="1:39">
      <c r="A32" s="44" t="s">
        <v>121</v>
      </c>
      <c r="B32" s="45">
        <v>9355</v>
      </c>
      <c r="C32" s="48">
        <v>978</v>
      </c>
      <c r="D32" s="46">
        <v>-0.895</v>
      </c>
      <c r="E32" s="47">
        <v>0.02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</row>
    <row r="33" spans="1:39">
      <c r="A33" s="44" t="s">
        <v>122</v>
      </c>
      <c r="B33" s="48">
        <v>692</v>
      </c>
      <c r="C33" s="45">
        <v>1490</v>
      </c>
      <c r="D33" s="46">
        <v>1.154</v>
      </c>
      <c r="E33" s="47">
        <v>0.02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</row>
    <row r="34" spans="1:39">
      <c r="A34" s="44" t="s">
        <v>123</v>
      </c>
      <c r="B34" s="48">
        <v>0</v>
      </c>
      <c r="C34" s="45">
        <v>1970</v>
      </c>
      <c r="D34" s="48" t="s">
        <v>114</v>
      </c>
      <c r="E34" s="47">
        <v>0.03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</row>
    <row r="35" spans="1:39">
      <c r="A35" s="44" t="s">
        <v>124</v>
      </c>
      <c r="B35" s="48">
        <v>420</v>
      </c>
      <c r="C35" s="45">
        <v>1500</v>
      </c>
      <c r="D35" s="46">
        <v>2.571</v>
      </c>
      <c r="E35" s="47">
        <v>0.02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</row>
    <row r="36" spans="1:39">
      <c r="A36" s="44" t="s">
        <v>125</v>
      </c>
      <c r="B36" s="48">
        <v>749</v>
      </c>
      <c r="C36" s="45">
        <v>1056</v>
      </c>
      <c r="D36" s="46">
        <v>0.41</v>
      </c>
      <c r="E36" s="47">
        <v>0.02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</row>
    <row r="37" spans="1:39">
      <c r="A37" s="44" t="s">
        <v>126</v>
      </c>
      <c r="B37" s="48">
        <v>323</v>
      </c>
      <c r="C37" s="48">
        <v>120</v>
      </c>
      <c r="D37" s="46">
        <v>-0.628</v>
      </c>
      <c r="E37" s="13"/>
      <c r="F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</row>
    <row r="38" spans="1:39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</row>
    <row r="39" spans="1: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</row>
    <row r="40" spans="1:39">
      <c r="A40" s="49" t="s">
        <v>127</v>
      </c>
      <c r="B40" s="49" t="s">
        <v>128</v>
      </c>
      <c r="C40" s="49" t="s">
        <v>129</v>
      </c>
      <c r="D40" s="49" t="s">
        <v>130</v>
      </c>
      <c r="E40" s="49" t="s">
        <v>3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</row>
    <row r="41" spans="1:39">
      <c r="A41" s="50" t="s">
        <v>131</v>
      </c>
      <c r="B41" s="21">
        <v>125435</v>
      </c>
      <c r="C41" s="21">
        <v>62498</v>
      </c>
      <c r="D41" s="21">
        <v>-62938</v>
      </c>
      <c r="E41" s="22">
        <v>-0.502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</row>
    <row r="42" spans="1:39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</row>
    <row r="43" spans="1:39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</row>
    <row r="44" spans="1:39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</row>
    <row r="45" spans="1:39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</row>
    <row r="46" spans="1:3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</row>
    <row r="47" spans="1:3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</row>
    <row r="48" spans="1:3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</row>
    <row r="49" spans="1:3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</row>
    <row r="50" spans="1:3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</row>
    <row r="51" spans="1:39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</row>
    <row r="52" spans="1:39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</row>
    <row r="53" spans="1:39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</row>
    <row r="54" spans="1:39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</row>
    <row r="55" spans="1:39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</row>
    <row r="56" spans="1:39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</row>
    <row r="57" spans="1:39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</row>
    <row r="58" spans="1:39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</row>
    <row r="59" spans="1:3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</row>
    <row r="60" spans="1:39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</row>
    <row r="61" spans="1:39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</row>
    <row r="62" spans="1:39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</row>
    <row r="63" spans="1:39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</row>
    <row r="64" spans="1:39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</row>
    <row r="65" spans="1:39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</row>
    <row r="66" spans="1:39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</row>
    <row r="67" spans="1:39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</row>
    <row r="68" spans="1:39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</row>
    <row r="69" spans="1:3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</row>
    <row r="70" spans="1:39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</row>
    <row r="71" spans="1:39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</row>
    <row r="72" spans="1:39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</row>
    <row r="73" spans="1:39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</row>
    <row r="74" spans="1:39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</row>
    <row r="75" spans="1:39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</row>
    <row r="76" spans="1:39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</row>
    <row r="77" spans="1:39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</row>
    <row r="78" spans="1:39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</row>
    <row r="79" spans="1:3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</row>
    <row r="80" spans="1:39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</row>
    <row r="81" spans="1:39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</row>
    <row r="82" spans="1:39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</row>
    <row r="83" spans="1:39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</row>
    <row r="84" spans="1:39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</row>
    <row r="85" spans="1:39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</row>
    <row r="86" spans="1:39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</row>
    <row r="87" spans="1:39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</row>
    <row r="88" spans="1:39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</row>
    <row r="89" spans="1:3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</row>
    <row r="90" spans="1:39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</row>
    <row r="91" spans="1:39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</row>
    <row r="92" spans="1:39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</row>
    <row r="93" spans="1:39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</row>
    <row r="94" spans="1:39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</row>
    <row r="95" spans="1:39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</row>
    <row r="96" spans="1:39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</row>
    <row r="97" spans="1:39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</row>
    <row r="98" spans="1:39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</row>
    <row r="99" spans="1:3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</row>
    <row r="100" spans="1:39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</row>
    <row r="101" spans="1:39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</row>
    <row r="102" spans="1:39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</row>
    <row r="103" spans="1:39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</row>
    <row r="104" spans="1:39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</row>
    <row r="105" spans="1:39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</row>
    <row r="106" spans="1:39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</row>
    <row r="107" spans="1:39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</row>
    <row r="108" spans="1:39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</row>
    <row r="109" spans="1:3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</row>
    <row r="110" spans="1:39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</row>
    <row r="111" spans="1:39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</row>
    <row r="112" spans="1:39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</row>
    <row r="113" spans="1:39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</row>
    <row r="114" spans="1:39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</row>
    <row r="115" spans="1:39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</row>
    <row r="116" spans="1:39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</row>
    <row r="117" spans="1:39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</row>
    <row r="118" spans="1:39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</row>
    <row r="119" spans="1:3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</row>
    <row r="120" spans="1:39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</row>
    <row r="121" spans="1:39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</row>
    <row r="122" spans="1:39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</row>
    <row r="123" spans="1:39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</row>
    <row r="124" spans="1:39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</row>
    <row r="125" spans="1:39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</row>
    <row r="126" spans="1:39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</row>
    <row r="127" spans="1:39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</row>
    <row r="128" spans="1:39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</row>
    <row r="129" spans="1:3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</row>
    <row r="130" spans="1:39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</row>
    <row r="131" spans="1:39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</row>
    <row r="132" spans="1:39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</row>
    <row r="133" spans="1:39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</row>
    <row r="134" spans="1:39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</row>
    <row r="135" spans="1:39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</row>
    <row r="136" spans="1:39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</row>
    <row r="137" spans="1:39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</row>
    <row r="138" spans="1:39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</row>
    <row r="139" spans="1: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</row>
    <row r="140" spans="1:39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</row>
    <row r="141" spans="1:39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</row>
    <row r="142" spans="1:39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</row>
    <row r="143" spans="1:39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</row>
    <row r="144" spans="1:39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</row>
    <row r="145" spans="1:39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</row>
    <row r="146" spans="1:39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</row>
    <row r="147" spans="1:39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</row>
    <row r="148" spans="1:39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</row>
    <row r="149" spans="1:3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</row>
    <row r="150" spans="1:39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</row>
    <row r="151" spans="1:39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</row>
    <row r="152" spans="1:39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</row>
    <row r="153" spans="1:39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</row>
    <row r="154" spans="1:39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</row>
    <row r="155" spans="1:39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</row>
    <row r="156" spans="1:39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</row>
    <row r="157" spans="1:39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</row>
    <row r="158" spans="1:39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</row>
    <row r="159" spans="1:3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</row>
    <row r="160" spans="1:39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</row>
    <row r="161" spans="1:39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</row>
    <row r="162" spans="1:39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</row>
    <row r="163" spans="1:39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</row>
    <row r="164" spans="1:39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</row>
    <row r="165" spans="1:39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</row>
    <row r="166" spans="1:39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</row>
    <row r="167" spans="1:39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</row>
    <row r="168" spans="1:39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</row>
    <row r="169" spans="1:3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</row>
    <row r="170" spans="1:39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</row>
    <row r="171" spans="1:39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</row>
    <row r="172" spans="1:39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</row>
    <row r="173" spans="1:39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</row>
    <row r="174" spans="1:39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</row>
    <row r="175" spans="1:39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</row>
    <row r="176" spans="1:39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</row>
    <row r="177" spans="1:39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</row>
    <row r="178" spans="1:39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</row>
    <row r="179" spans="1:3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</row>
    <row r="180" spans="1:39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</row>
    <row r="181" spans="1:39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</row>
    <row r="182" spans="1:39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</row>
    <row r="183" spans="1:39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</row>
    <row r="184" spans="1:39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</row>
    <row r="185" spans="1:39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</row>
    <row r="186" spans="1:39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</row>
    <row r="187" spans="1:39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</row>
    <row r="188" spans="1:39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</row>
    <row r="189" spans="1:3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</row>
    <row r="190" spans="1:39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</row>
    <row r="191" spans="1:39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</row>
    <row r="192" spans="1:39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</row>
    <row r="193" spans="1:39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</row>
    <row r="194" spans="1:39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</row>
    <row r="195" spans="1:39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</row>
    <row r="196" spans="1:39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</row>
    <row r="197" spans="1:39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</row>
    <row r="198" spans="1:39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</row>
    <row r="199" spans="1:3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</row>
    <row r="200" spans="1:39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</row>
    <row r="201" spans="1:39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</row>
    <row r="202" spans="1:39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</row>
    <row r="203" spans="1:39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</row>
  </sheetData>
  <mergeCells count="3">
    <mergeCell ref="A1:L1"/>
    <mergeCell ref="A11:L11"/>
    <mergeCell ref="A19:L19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54"/>
  <sheetViews>
    <sheetView showGridLines="0" zoomScale="70" zoomScaleNormal="70" workbookViewId="0">
      <pane ySplit="4" topLeftCell="A5" activePane="bottomLeft" state="frozen"/>
      <selection/>
      <selection pane="bottomLeft" activeCell="A1" sqref="A1"/>
    </sheetView>
  </sheetViews>
  <sheetFormatPr defaultColWidth="9" defaultRowHeight="14" outlineLevelCol="6"/>
  <cols>
    <col min="1" max="1" width="15.7090909090909" customWidth="1"/>
    <col min="2" max="2" width="24.7090909090909" customWidth="1"/>
    <col min="3" max="4" width="15.7090909090909" customWidth="1"/>
    <col min="5" max="7" width="12.7090909090909" customWidth="1"/>
  </cols>
  <sheetData>
    <row r="1" ht="21" spans="1:7">
      <c r="A1" s="1" t="s">
        <v>132</v>
      </c>
    </row>
    <row r="2" spans="1:7">
      <c r="A2" s="4" t="s">
        <v>133</v>
      </c>
    </row>
    <row r="4" spans="1:7">
      <c r="A4" s="2" t="s">
        <v>134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38</v>
      </c>
    </row>
    <row r="5" spans="1:7">
      <c r="A5" s="3">
        <v>1</v>
      </c>
      <c r="B5" s="3" t="s">
        <v>17</v>
      </c>
      <c r="C5" s="5">
        <v>5514386.9</v>
      </c>
      <c r="D5" s="5">
        <v>5809834.21</v>
      </c>
      <c r="E5" s="6">
        <v>0.284837306483146</v>
      </c>
      <c r="F5" s="6">
        <v>0.350952066556976</v>
      </c>
      <c r="G5" s="7">
        <v>0.0535775445861439</v>
      </c>
    </row>
    <row r="6" spans="1:7">
      <c r="A6" s="3">
        <v>2</v>
      </c>
      <c r="B6" s="3" t="s">
        <v>18</v>
      </c>
      <c r="C6" s="5">
        <v>1941692.6</v>
      </c>
      <c r="D6" s="5">
        <v>2011129.95</v>
      </c>
      <c r="E6" s="6">
        <v>0.100295191511183</v>
      </c>
      <c r="F6" s="6">
        <v>0.121485430832479</v>
      </c>
      <c r="G6" s="7">
        <v>0.0357612476866831</v>
      </c>
    </row>
    <row r="7" spans="1:7">
      <c r="A7" s="3">
        <v>3</v>
      </c>
      <c r="B7" s="3" t="s">
        <v>19</v>
      </c>
      <c r="C7" s="5">
        <v>1281569.76</v>
      </c>
      <c r="D7" s="5">
        <v>1330003.69</v>
      </c>
      <c r="E7" s="6">
        <v>0.066197545643497</v>
      </c>
      <c r="F7" s="6">
        <v>0.080340940319862</v>
      </c>
      <c r="G7" s="7">
        <v>0.0377926598392884</v>
      </c>
    </row>
    <row r="8" spans="1:7">
      <c r="A8" s="3">
        <v>4</v>
      </c>
      <c r="B8" s="3" t="s">
        <v>20</v>
      </c>
      <c r="C8" s="5">
        <v>1476055.8</v>
      </c>
      <c r="D8" s="5">
        <v>1035348.93</v>
      </c>
      <c r="E8" s="6">
        <v>0.0762434275859072</v>
      </c>
      <c r="F8" s="6">
        <v>0.0625418615157099</v>
      </c>
      <c r="G8" s="8">
        <v>-0.298570602818674</v>
      </c>
    </row>
    <row r="9" spans="1:7">
      <c r="A9" s="3">
        <v>5</v>
      </c>
      <c r="B9" s="3" t="s">
        <v>22</v>
      </c>
      <c r="C9" s="5">
        <v>1168358.98</v>
      </c>
      <c r="D9" s="5">
        <v>866273.23</v>
      </c>
      <c r="E9" s="6">
        <v>0.0603498142048386</v>
      </c>
      <c r="F9" s="6">
        <v>0.0523285810373385</v>
      </c>
      <c r="G9" s="8">
        <v>-0.258555593932269</v>
      </c>
    </row>
    <row r="10" spans="1:7">
      <c r="A10" s="3">
        <v>6</v>
      </c>
      <c r="B10" s="3" t="s">
        <v>21</v>
      </c>
      <c r="C10" s="5">
        <v>1168409.44</v>
      </c>
      <c r="D10" s="5">
        <v>820318.039999999</v>
      </c>
      <c r="E10" s="6">
        <v>0.0603524206397417</v>
      </c>
      <c r="F10" s="6">
        <v>0.0495525863503027</v>
      </c>
      <c r="G10" s="8">
        <v>-0.297919024002409</v>
      </c>
    </row>
    <row r="11" spans="1:7">
      <c r="A11" s="3">
        <v>7</v>
      </c>
      <c r="B11" s="3" t="s">
        <v>25</v>
      </c>
      <c r="C11" s="5">
        <v>506305.19</v>
      </c>
      <c r="D11" s="5">
        <v>356903.25</v>
      </c>
      <c r="E11" s="6">
        <v>0.0261524280383804</v>
      </c>
      <c r="F11" s="6">
        <v>0.0215592956048226</v>
      </c>
      <c r="G11" s="8">
        <v>-0.295082774087305</v>
      </c>
    </row>
    <row r="12" spans="1:7">
      <c r="A12" s="3">
        <v>8</v>
      </c>
      <c r="B12" s="3" t="s">
        <v>23</v>
      </c>
      <c r="C12" s="5">
        <v>389352.16</v>
      </c>
      <c r="D12" s="5">
        <v>267069.62</v>
      </c>
      <c r="E12" s="6">
        <v>0.0201113963417755</v>
      </c>
      <c r="F12" s="6">
        <v>0.016132755542707</v>
      </c>
      <c r="G12" s="8">
        <v>-0.314066679378381</v>
      </c>
    </row>
    <row r="13" spans="1:7">
      <c r="A13" s="3">
        <v>9</v>
      </c>
      <c r="B13" s="3" t="s">
        <v>26</v>
      </c>
      <c r="C13" s="5">
        <v>310955.32</v>
      </c>
      <c r="D13" s="5">
        <v>236649.66</v>
      </c>
      <c r="E13" s="6">
        <v>0.0160619262651674</v>
      </c>
      <c r="F13" s="6">
        <v>0.0142951905725733</v>
      </c>
      <c r="G13" s="8">
        <v>-0.238959281995883</v>
      </c>
    </row>
    <row r="14" spans="1:7">
      <c r="A14" s="3">
        <v>10</v>
      </c>
      <c r="B14" s="3" t="s">
        <v>135</v>
      </c>
      <c r="C14" s="5">
        <v>162899.73</v>
      </c>
      <c r="D14" s="5">
        <v>217494.71</v>
      </c>
      <c r="E14" s="6">
        <v>0.00841433892134623</v>
      </c>
      <c r="F14" s="6">
        <v>0.0131381060423943</v>
      </c>
      <c r="G14" s="7">
        <v>0.335144692996115</v>
      </c>
    </row>
    <row r="15" spans="1:7">
      <c r="A15" s="3">
        <v>11</v>
      </c>
      <c r="B15" s="3" t="s">
        <v>27</v>
      </c>
      <c r="C15" s="5">
        <v>196798.77</v>
      </c>
      <c r="D15" s="5">
        <v>199099.89</v>
      </c>
      <c r="E15" s="6">
        <v>0.0101653425090641</v>
      </c>
      <c r="F15" s="6">
        <v>0.0120269383464501</v>
      </c>
      <c r="G15" s="7">
        <v>0.0116927560065545</v>
      </c>
    </row>
    <row r="16" spans="1:7">
      <c r="A16" s="3">
        <v>12</v>
      </c>
      <c r="B16" s="3" t="s">
        <v>24</v>
      </c>
      <c r="C16" s="5">
        <v>274197.22</v>
      </c>
      <c r="D16" s="5">
        <v>189488.39</v>
      </c>
      <c r="E16" s="6">
        <v>0.0141632422617946</v>
      </c>
      <c r="F16" s="6">
        <v>0.0114463407483454</v>
      </c>
      <c r="G16" s="8">
        <v>-0.308933949075049</v>
      </c>
    </row>
    <row r="17" spans="1:7">
      <c r="A17" s="3">
        <v>13</v>
      </c>
      <c r="B17" s="3" t="s">
        <v>136</v>
      </c>
      <c r="C17" s="5">
        <v>120968.85</v>
      </c>
      <c r="D17" s="5">
        <v>137395.73</v>
      </c>
      <c r="E17" s="6">
        <v>0.00624846279871362</v>
      </c>
      <c r="F17" s="6">
        <v>0.00829960264556401</v>
      </c>
      <c r="G17" s="7">
        <v>0.135794297457568</v>
      </c>
    </row>
    <row r="18" spans="1:7">
      <c r="A18" s="3">
        <v>14</v>
      </c>
      <c r="B18" s="3" t="s">
        <v>36</v>
      </c>
      <c r="C18" s="5">
        <v>243900.65</v>
      </c>
      <c r="D18" s="5">
        <v>134956.98</v>
      </c>
      <c r="E18" s="6">
        <v>0.0125983188077515</v>
      </c>
      <c r="F18" s="6">
        <v>0.00815228616089691</v>
      </c>
      <c r="G18" s="8">
        <v>-0.446672323341492</v>
      </c>
    </row>
    <row r="19" spans="1:7">
      <c r="A19" s="3">
        <v>15</v>
      </c>
      <c r="B19" s="3" t="s">
        <v>137</v>
      </c>
      <c r="C19" s="5">
        <v>58630.34</v>
      </c>
      <c r="D19" s="5">
        <v>111797.1</v>
      </c>
      <c r="E19" s="6">
        <v>0.00302846144578485</v>
      </c>
      <c r="F19" s="6">
        <v>0.00675327760860097</v>
      </c>
      <c r="G19" s="7">
        <v>0.906813093698587</v>
      </c>
    </row>
    <row r="20" spans="1:7">
      <c r="A20" s="3">
        <v>16</v>
      </c>
      <c r="B20" s="3" t="s">
        <v>138</v>
      </c>
      <c r="C20" s="5">
        <v>67894.36</v>
      </c>
      <c r="D20" s="5">
        <v>98809.54</v>
      </c>
      <c r="E20" s="6">
        <v>0.00350698037306687</v>
      </c>
      <c r="F20" s="6">
        <v>0.00596874385827684</v>
      </c>
      <c r="G20" s="7">
        <v>0.455342387791858</v>
      </c>
    </row>
    <row r="21" spans="1:7">
      <c r="A21" s="3">
        <v>17</v>
      </c>
      <c r="B21" s="3" t="s">
        <v>139</v>
      </c>
      <c r="C21" s="5">
        <v>0</v>
      </c>
      <c r="D21" s="5">
        <v>93972.79</v>
      </c>
      <c r="E21" s="6">
        <v>0</v>
      </c>
      <c r="F21" s="6">
        <v>0.00567657245603653</v>
      </c>
      <c r="G21" s="3"/>
    </row>
    <row r="22" spans="1:7">
      <c r="A22" s="3">
        <v>18</v>
      </c>
      <c r="B22" s="3" t="s">
        <v>140</v>
      </c>
      <c r="C22" s="5">
        <v>68992.07</v>
      </c>
      <c r="D22" s="5">
        <v>91552.3</v>
      </c>
      <c r="E22" s="6">
        <v>0.00356368092117306</v>
      </c>
      <c r="F22" s="6">
        <v>0.0055303589950537</v>
      </c>
      <c r="G22" s="7">
        <v>0.326997436082147</v>
      </c>
    </row>
    <row r="23" spans="1:7">
      <c r="A23" s="3">
        <v>19</v>
      </c>
      <c r="B23" s="3" t="s">
        <v>141</v>
      </c>
      <c r="C23" s="5">
        <v>143809</v>
      </c>
      <c r="D23" s="5">
        <v>86096.99</v>
      </c>
      <c r="E23" s="6">
        <v>0.00742823616675042</v>
      </c>
      <c r="F23" s="6">
        <v>0.00520082251449225</v>
      </c>
      <c r="G23" s="8">
        <v>-0.401310140533625</v>
      </c>
    </row>
    <row r="24" spans="1:7">
      <c r="A24" s="3">
        <v>20</v>
      </c>
      <c r="B24" s="3" t="s">
        <v>142</v>
      </c>
      <c r="C24" s="5">
        <v>93700.61</v>
      </c>
      <c r="D24" s="5">
        <v>78485.99</v>
      </c>
      <c r="E24" s="6">
        <v>0.00483996314589891</v>
      </c>
      <c r="F24" s="6">
        <v>0.00474106822856657</v>
      </c>
      <c r="G24" s="8">
        <v>-0.162374823386956</v>
      </c>
    </row>
    <row r="25" spans="1:7">
      <c r="A25" s="3">
        <v>21</v>
      </c>
      <c r="B25" s="3" t="s">
        <v>143</v>
      </c>
      <c r="C25" s="5">
        <v>72956.2</v>
      </c>
      <c r="D25" s="5">
        <v>73086.73</v>
      </c>
      <c r="E25" s="6">
        <v>0.003768442054591</v>
      </c>
      <c r="F25" s="6">
        <v>0.00441491753538209</v>
      </c>
      <c r="G25" s="7">
        <v>0.00178915568519211</v>
      </c>
    </row>
    <row r="26" spans="1:7">
      <c r="A26" s="3">
        <v>22</v>
      </c>
      <c r="B26" s="3" t="s">
        <v>144</v>
      </c>
      <c r="C26" s="5">
        <v>109305.03</v>
      </c>
      <c r="D26" s="5">
        <v>68352.02</v>
      </c>
      <c r="E26" s="6">
        <v>0.00564598583575256</v>
      </c>
      <c r="F26" s="6">
        <v>0.00412891001795794</v>
      </c>
      <c r="G26" s="8">
        <v>-0.374667204244855</v>
      </c>
    </row>
    <row r="27" spans="1:7">
      <c r="A27" s="3">
        <v>23</v>
      </c>
      <c r="B27" s="3" t="s">
        <v>145</v>
      </c>
      <c r="C27" s="5">
        <v>0</v>
      </c>
      <c r="D27" s="5">
        <v>67608.6</v>
      </c>
      <c r="E27" s="6">
        <v>0</v>
      </c>
      <c r="F27" s="6">
        <v>0.00408400257724807</v>
      </c>
      <c r="G27" s="3"/>
    </row>
    <row r="28" spans="1:7">
      <c r="A28" s="3">
        <v>24</v>
      </c>
      <c r="B28" s="3" t="s">
        <v>146</v>
      </c>
      <c r="C28" s="5">
        <v>83491.2</v>
      </c>
      <c r="D28" s="5">
        <v>67263.64</v>
      </c>
      <c r="E28" s="6">
        <v>0.00431261152949672</v>
      </c>
      <c r="F28" s="6">
        <v>0.00406316473222468</v>
      </c>
      <c r="G28" s="8">
        <v>-0.194362519642789</v>
      </c>
    </row>
    <row r="29" spans="1:7">
      <c r="A29" s="3">
        <v>25</v>
      </c>
      <c r="B29" s="3" t="s">
        <v>147</v>
      </c>
      <c r="C29" s="5">
        <v>61929.49</v>
      </c>
      <c r="D29" s="5">
        <v>64127.06</v>
      </c>
      <c r="E29" s="6">
        <v>0.0031988740440891</v>
      </c>
      <c r="F29" s="6">
        <v>0.00387369474166513</v>
      </c>
      <c r="G29" s="7">
        <v>0.0354850330593717</v>
      </c>
    </row>
    <row r="30" spans="1:7">
      <c r="A30" s="3">
        <v>26</v>
      </c>
      <c r="B30" s="3" t="s">
        <v>148</v>
      </c>
      <c r="C30" s="5">
        <v>188300</v>
      </c>
      <c r="D30" s="5">
        <v>59510.7</v>
      </c>
      <c r="E30" s="6">
        <v>0.00972635141193601</v>
      </c>
      <c r="F30" s="6">
        <v>0.00359483633996025</v>
      </c>
      <c r="G30" s="8">
        <v>-0.6839580456718</v>
      </c>
    </row>
    <row r="31" spans="1:7">
      <c r="A31" s="3">
        <v>27</v>
      </c>
      <c r="B31" s="3" t="s">
        <v>149</v>
      </c>
      <c r="C31" s="5">
        <v>169695.75</v>
      </c>
      <c r="D31" s="5">
        <v>59236.79</v>
      </c>
      <c r="E31" s="6">
        <v>0.00876537704520467</v>
      </c>
      <c r="F31" s="6">
        <v>0.0035782903806306</v>
      </c>
      <c r="G31" s="8">
        <v>-0.650923549941587</v>
      </c>
    </row>
    <row r="32" spans="1:7">
      <c r="A32" s="3">
        <v>28</v>
      </c>
      <c r="B32" s="3" t="s">
        <v>150</v>
      </c>
      <c r="C32" s="5">
        <v>76551.56</v>
      </c>
      <c r="D32" s="5">
        <v>47493.53</v>
      </c>
      <c r="E32" s="6">
        <v>0.00395415493198037</v>
      </c>
      <c r="F32" s="6">
        <v>0.00286892050600971</v>
      </c>
      <c r="G32" s="8">
        <v>-0.379587692269106</v>
      </c>
    </row>
    <row r="33" spans="1:7">
      <c r="A33" s="3">
        <v>29</v>
      </c>
      <c r="B33" s="3" t="s">
        <v>151</v>
      </c>
      <c r="C33" s="5">
        <v>56250.63</v>
      </c>
      <c r="D33" s="5">
        <v>46099.53</v>
      </c>
      <c r="E33" s="6">
        <v>0.00290554112863935</v>
      </c>
      <c r="F33" s="6">
        <v>0.00278471376910518</v>
      </c>
      <c r="G33" s="8">
        <v>-0.180461978825837</v>
      </c>
    </row>
    <row r="34" spans="1:7">
      <c r="A34" s="3">
        <v>30</v>
      </c>
      <c r="B34" s="3" t="s">
        <v>152</v>
      </c>
      <c r="C34" s="5">
        <v>66314.14</v>
      </c>
      <c r="D34" s="5">
        <v>45255.89</v>
      </c>
      <c r="E34" s="6">
        <v>0.00342535650143559</v>
      </c>
      <c r="F34" s="6">
        <v>0.00273375238350824</v>
      </c>
      <c r="G34" s="8">
        <v>-0.317552938181812</v>
      </c>
    </row>
    <row r="35" spans="1:7">
      <c r="A35" s="3">
        <v>31</v>
      </c>
      <c r="B35" s="3" t="s">
        <v>153</v>
      </c>
      <c r="C35" s="5">
        <v>45941.81</v>
      </c>
      <c r="D35" s="5">
        <v>44920.79</v>
      </c>
      <c r="E35" s="6">
        <v>0.00237305463919488</v>
      </c>
      <c r="F35" s="6">
        <v>0.00271351014711174</v>
      </c>
      <c r="G35" s="8">
        <v>-0.0222242005702437</v>
      </c>
    </row>
    <row r="36" spans="1:7">
      <c r="A36" s="3">
        <v>32</v>
      </c>
      <c r="B36" s="3" t="s">
        <v>34</v>
      </c>
      <c r="C36" s="5">
        <v>78179.87</v>
      </c>
      <c r="D36" s="5">
        <v>44865.27</v>
      </c>
      <c r="E36" s="6">
        <v>0.00403826281975291</v>
      </c>
      <c r="F36" s="6">
        <v>0.00271015637520863</v>
      </c>
      <c r="G36" s="8">
        <v>-0.426127595249263</v>
      </c>
    </row>
    <row r="37" spans="1:7">
      <c r="A37" s="3">
        <v>33</v>
      </c>
      <c r="B37" s="3" t="s">
        <v>154</v>
      </c>
      <c r="C37" s="5">
        <v>0</v>
      </c>
      <c r="D37" s="5">
        <v>40931.52</v>
      </c>
      <c r="E37" s="6">
        <v>0</v>
      </c>
      <c r="F37" s="6">
        <v>0.00247253209163746</v>
      </c>
      <c r="G37" s="3"/>
    </row>
    <row r="38" spans="1:7">
      <c r="A38" s="3">
        <v>34</v>
      </c>
      <c r="B38" s="3" t="s">
        <v>155</v>
      </c>
      <c r="C38" s="5">
        <v>75892.2</v>
      </c>
      <c r="D38" s="5">
        <v>39789.3</v>
      </c>
      <c r="E38" s="6">
        <v>0.00392009668945794</v>
      </c>
      <c r="F38" s="6">
        <v>0.00240353451701258</v>
      </c>
      <c r="G38" s="8">
        <v>-0.475712919114217</v>
      </c>
    </row>
    <row r="39" spans="1:7">
      <c r="A39" s="3">
        <v>35</v>
      </c>
      <c r="B39" s="3" t="s">
        <v>156</v>
      </c>
      <c r="C39" s="5">
        <v>53806.94</v>
      </c>
      <c r="D39" s="5">
        <v>35206.24</v>
      </c>
      <c r="E39" s="6">
        <v>0.0027793160214602</v>
      </c>
      <c r="F39" s="6">
        <v>0.0021266876535709</v>
      </c>
      <c r="G39" s="8">
        <v>-0.345693325061786</v>
      </c>
    </row>
    <row r="40" spans="1:7">
      <c r="A40" s="3">
        <v>36</v>
      </c>
      <c r="B40" s="3" t="s">
        <v>157</v>
      </c>
      <c r="C40" s="5">
        <v>94289.71</v>
      </c>
      <c r="D40" s="5">
        <v>35026.34</v>
      </c>
      <c r="E40" s="6">
        <v>0.00487039221449568</v>
      </c>
      <c r="F40" s="6">
        <v>0.00211582051442519</v>
      </c>
      <c r="G40" s="8">
        <v>-0.628524257843194</v>
      </c>
    </row>
    <row r="41" spans="1:7">
      <c r="A41" s="3">
        <v>37</v>
      </c>
      <c r="B41" s="3" t="s">
        <v>158</v>
      </c>
      <c r="C41" s="5">
        <v>12676.48</v>
      </c>
      <c r="D41" s="5">
        <v>33179.24</v>
      </c>
      <c r="E41" s="6">
        <v>0.000654784382083795</v>
      </c>
      <c r="F41" s="6">
        <v>0.00200424356769896</v>
      </c>
      <c r="G41" s="7">
        <v>1.61738589892462</v>
      </c>
    </row>
    <row r="42" spans="1:7">
      <c r="A42" s="3">
        <v>38</v>
      </c>
      <c r="B42" s="3" t="s">
        <v>159</v>
      </c>
      <c r="C42" s="5">
        <v>54104.28</v>
      </c>
      <c r="D42" s="5">
        <v>30680.84</v>
      </c>
      <c r="E42" s="6">
        <v>0.0027946746689845</v>
      </c>
      <c r="F42" s="6">
        <v>0.00185332383205887</v>
      </c>
      <c r="G42" s="8">
        <v>-0.43293136883071</v>
      </c>
    </row>
    <row r="43" spans="1:7">
      <c r="A43" s="3">
        <v>39</v>
      </c>
      <c r="B43" s="3" t="s">
        <v>160</v>
      </c>
      <c r="C43" s="5">
        <v>47206.32</v>
      </c>
      <c r="D43" s="5">
        <v>29831.84</v>
      </c>
      <c r="E43" s="6">
        <v>0.00243837098876422</v>
      </c>
      <c r="F43" s="6">
        <v>0.00180203866733007</v>
      </c>
      <c r="G43" s="8">
        <v>-0.368054108009267</v>
      </c>
    </row>
    <row r="44" spans="1:7">
      <c r="A44" s="3">
        <v>40</v>
      </c>
      <c r="B44" s="3" t="s">
        <v>161</v>
      </c>
      <c r="C44" s="5">
        <v>73424.16</v>
      </c>
      <c r="D44" s="5">
        <v>28044.92</v>
      </c>
      <c r="E44" s="6">
        <v>0.00379261381989493</v>
      </c>
      <c r="F44" s="6">
        <v>0.0016940969870507</v>
      </c>
      <c r="G44" s="8">
        <v>-0.618042344645142</v>
      </c>
    </row>
    <row r="45" spans="1:7">
      <c r="A45" s="3">
        <v>41</v>
      </c>
      <c r="B45" s="3" t="s">
        <v>162</v>
      </c>
      <c r="C45" s="5">
        <v>26211.58</v>
      </c>
      <c r="D45" s="5">
        <v>26103.23</v>
      </c>
      <c r="E45" s="6">
        <v>0.00135391948030841</v>
      </c>
      <c r="F45" s="6">
        <v>0.00157680618433896</v>
      </c>
      <c r="G45" s="8">
        <v>-0.00413366916454483</v>
      </c>
    </row>
    <row r="46" spans="1:7">
      <c r="A46" s="3">
        <v>42</v>
      </c>
      <c r="B46" s="3" t="s">
        <v>163</v>
      </c>
      <c r="C46" s="5">
        <v>56888.86</v>
      </c>
      <c r="D46" s="5">
        <v>25872.9</v>
      </c>
      <c r="E46" s="6">
        <v>0.00293850793300281</v>
      </c>
      <c r="F46" s="6">
        <v>0.00156289274265229</v>
      </c>
      <c r="G46" s="8">
        <v>-0.545202698735745</v>
      </c>
    </row>
    <row r="47" spans="1:7">
      <c r="A47" s="3">
        <v>43</v>
      </c>
      <c r="B47" s="3" t="s">
        <v>164</v>
      </c>
      <c r="C47" s="5">
        <v>35490.86</v>
      </c>
      <c r="D47" s="5">
        <v>25836.52</v>
      </c>
      <c r="E47" s="6">
        <v>0.00183322663978663</v>
      </c>
      <c r="F47" s="6">
        <v>0.00156069515220136</v>
      </c>
      <c r="G47" s="8">
        <v>-0.272023275851867</v>
      </c>
    </row>
    <row r="48" spans="1:7">
      <c r="A48" s="3">
        <v>44</v>
      </c>
      <c r="B48" s="3" t="s">
        <v>165</v>
      </c>
      <c r="C48" s="5">
        <v>50409.72</v>
      </c>
      <c r="D48" s="5">
        <v>25832.17</v>
      </c>
      <c r="E48" s="6">
        <v>0.00260383776578491</v>
      </c>
      <c r="F48" s="6">
        <v>0.0015604323836895</v>
      </c>
      <c r="G48" s="8">
        <v>-0.487555772973942</v>
      </c>
    </row>
    <row r="49" spans="1:7">
      <c r="A49" s="3">
        <v>45</v>
      </c>
      <c r="B49" s="3" t="s">
        <v>166</v>
      </c>
      <c r="C49" s="5">
        <v>25446.94</v>
      </c>
      <c r="D49" s="5">
        <v>25703.23</v>
      </c>
      <c r="E49" s="6">
        <v>0.00131442315878094</v>
      </c>
      <c r="F49" s="6">
        <v>0.0015526435625586</v>
      </c>
      <c r="G49" s="7">
        <v>0.0100715449480371</v>
      </c>
    </row>
    <row r="50" spans="1:7">
      <c r="A50" s="3">
        <v>46</v>
      </c>
      <c r="B50" s="3" t="s">
        <v>167</v>
      </c>
      <c r="C50" s="5">
        <v>30376.21</v>
      </c>
      <c r="D50" s="5">
        <v>24961.07</v>
      </c>
      <c r="E50" s="6">
        <v>0.00156903713766736</v>
      </c>
      <c r="F50" s="6">
        <v>0.00150781223410734</v>
      </c>
      <c r="G50" s="8">
        <v>-0.178269112571977</v>
      </c>
    </row>
    <row r="51" spans="1:7">
      <c r="A51" s="3">
        <v>47</v>
      </c>
      <c r="B51" s="3" t="s">
        <v>168</v>
      </c>
      <c r="C51" s="5">
        <v>45668</v>
      </c>
      <c r="D51" s="5">
        <v>24665.11</v>
      </c>
      <c r="E51" s="6">
        <v>0.00235891139819593</v>
      </c>
      <c r="F51" s="6">
        <v>0.00148993431025205</v>
      </c>
      <c r="G51" s="8">
        <v>-0.459903871419813</v>
      </c>
    </row>
    <row r="52" spans="1:7">
      <c r="A52" s="3">
        <v>48</v>
      </c>
      <c r="B52" s="3" t="s">
        <v>169</v>
      </c>
      <c r="C52" s="5">
        <v>80.86</v>
      </c>
      <c r="D52" s="5">
        <v>24239.24</v>
      </c>
      <c r="E52" s="6">
        <v>4.17670087715956e-6</v>
      </c>
      <c r="F52" s="6">
        <v>0.00146420897090805</v>
      </c>
      <c r="G52" s="7">
        <v>298.767994063814</v>
      </c>
    </row>
    <row r="53" spans="1:7">
      <c r="A53" s="3">
        <v>49</v>
      </c>
      <c r="B53" s="3" t="s">
        <v>170</v>
      </c>
      <c r="C53" s="5">
        <v>16075.14</v>
      </c>
      <c r="D53" s="5">
        <v>23001.97</v>
      </c>
      <c r="E53" s="6">
        <v>0.000830337018778911</v>
      </c>
      <c r="F53" s="6">
        <v>0.00138946975328261</v>
      </c>
      <c r="G53" s="7">
        <v>0.430903245632698</v>
      </c>
    </row>
    <row r="54" spans="1:7">
      <c r="A54" s="3">
        <v>50</v>
      </c>
      <c r="B54" s="3" t="s">
        <v>171</v>
      </c>
      <c r="C54" s="5">
        <v>14441.18</v>
      </c>
      <c r="D54" s="5">
        <v>21531.65</v>
      </c>
      <c r="E54" s="6">
        <v>0.000745937288810526</v>
      </c>
      <c r="F54" s="6">
        <v>0.00130065278814238</v>
      </c>
      <c r="G54" s="7">
        <v>0.490989655969942</v>
      </c>
    </row>
    <row r="55" spans="1:7">
      <c r="A55" s="3">
        <v>51</v>
      </c>
      <c r="B55" s="3" t="s">
        <v>172</v>
      </c>
      <c r="C55" s="5">
        <v>9269</v>
      </c>
      <c r="D55" s="5">
        <v>21280</v>
      </c>
      <c r="E55" s="6">
        <v>0.000478776161642246</v>
      </c>
      <c r="F55" s="6">
        <v>0.00128545147871482</v>
      </c>
      <c r="G55" s="7">
        <v>1.29582479231848</v>
      </c>
    </row>
    <row r="56" spans="1:7">
      <c r="A56" s="3">
        <v>52</v>
      </c>
      <c r="B56" s="3" t="s">
        <v>173</v>
      </c>
      <c r="C56" s="5">
        <v>21031.32</v>
      </c>
      <c r="D56" s="5">
        <v>20641.14</v>
      </c>
      <c r="E56" s="6">
        <v>0.00108634099297333</v>
      </c>
      <c r="F56" s="6">
        <v>0.00124686014733833</v>
      </c>
      <c r="G56" s="8">
        <v>-0.0185523305241891</v>
      </c>
    </row>
    <row r="57" spans="1:7">
      <c r="A57" s="3">
        <v>53</v>
      </c>
      <c r="B57" s="3" t="s">
        <v>174</v>
      </c>
      <c r="C57" s="5">
        <v>9383.33</v>
      </c>
      <c r="D57" s="5">
        <v>20150.05</v>
      </c>
      <c r="E57" s="6">
        <v>0.000484681704695494</v>
      </c>
      <c r="F57" s="6">
        <v>0.00121719509251304</v>
      </c>
      <c r="G57" s="7">
        <v>1.14743060299489</v>
      </c>
    </row>
    <row r="58" spans="1:7">
      <c r="A58" s="3">
        <v>54</v>
      </c>
      <c r="B58" s="3" t="s">
        <v>175</v>
      </c>
      <c r="C58" s="5">
        <v>14542.18</v>
      </c>
      <c r="D58" s="5">
        <v>18965.36</v>
      </c>
      <c r="E58" s="6">
        <v>0.000751154290895526</v>
      </c>
      <c r="F58" s="6">
        <v>0.00114563205152063</v>
      </c>
      <c r="G58" s="7">
        <v>0.304162099492649</v>
      </c>
    </row>
    <row r="59" spans="1:7">
      <c r="A59" s="3">
        <v>55</v>
      </c>
      <c r="B59" s="3" t="s">
        <v>176</v>
      </c>
      <c r="C59" s="5">
        <v>94375.15</v>
      </c>
      <c r="D59" s="5">
        <v>17999.02</v>
      </c>
      <c r="E59" s="6">
        <v>0.00487480548833867</v>
      </c>
      <c r="F59" s="6">
        <v>0.00108725878169256</v>
      </c>
      <c r="G59" s="8">
        <v>-0.809282210412381</v>
      </c>
    </row>
    <row r="60" spans="1:7">
      <c r="A60" s="3">
        <v>56</v>
      </c>
      <c r="B60" s="3" t="s">
        <v>177</v>
      </c>
      <c r="C60" s="5">
        <v>34977.78</v>
      </c>
      <c r="D60" s="5">
        <v>17454.53</v>
      </c>
      <c r="E60" s="6">
        <v>0.00180672426919483</v>
      </c>
      <c r="F60" s="6">
        <v>0.0010543680168596</v>
      </c>
      <c r="G60" s="8">
        <v>-0.500982337929966</v>
      </c>
    </row>
    <row r="61" spans="1:7">
      <c r="A61" s="3">
        <v>57</v>
      </c>
      <c r="B61" s="3" t="s">
        <v>178</v>
      </c>
      <c r="C61" s="5">
        <v>41582.71</v>
      </c>
      <c r="D61" s="5">
        <v>17116.81</v>
      </c>
      <c r="E61" s="6">
        <v>0.00214789192841543</v>
      </c>
      <c r="F61" s="6">
        <v>0.00103396751529044</v>
      </c>
      <c r="G61" s="8">
        <v>-0.588367136244848</v>
      </c>
    </row>
    <row r="62" spans="1:7">
      <c r="A62" s="3">
        <v>58</v>
      </c>
      <c r="B62" s="3" t="s">
        <v>179</v>
      </c>
      <c r="C62" s="5">
        <v>30694.22</v>
      </c>
      <c r="D62" s="5">
        <v>16977.94</v>
      </c>
      <c r="E62" s="6">
        <v>0.00158546346274708</v>
      </c>
      <c r="F62" s="6">
        <v>0.00102557885707385</v>
      </c>
      <c r="G62" s="8">
        <v>-0.446868498368748</v>
      </c>
    </row>
    <row r="63" spans="1:7">
      <c r="A63" s="3">
        <v>59</v>
      </c>
      <c r="B63" s="3" t="s">
        <v>180</v>
      </c>
      <c r="C63" s="5">
        <v>18918.6</v>
      </c>
      <c r="D63" s="5">
        <v>16312.14</v>
      </c>
      <c r="E63" s="6">
        <v>0.000977211640052324</v>
      </c>
      <c r="F63" s="6">
        <v>0.000985360173120449</v>
      </c>
      <c r="G63" s="8">
        <v>-0.137772351019632</v>
      </c>
    </row>
    <row r="64" spans="1:7">
      <c r="A64" s="3">
        <v>60</v>
      </c>
      <c r="B64" s="3" t="s">
        <v>181</v>
      </c>
      <c r="C64" s="5">
        <v>21829.45</v>
      </c>
      <c r="D64" s="5">
        <v>15991.89</v>
      </c>
      <c r="E64" s="6">
        <v>0.00112756718974661</v>
      </c>
      <c r="F64" s="6">
        <v>0.000966014974057553</v>
      </c>
      <c r="G64" s="8">
        <v>-0.267416723737886</v>
      </c>
    </row>
    <row r="65" spans="1:7">
      <c r="A65" s="3">
        <v>61</v>
      </c>
      <c r="B65" s="3" t="s">
        <v>182</v>
      </c>
      <c r="C65" s="5">
        <v>104938</v>
      </c>
      <c r="D65" s="5">
        <v>15664.64</v>
      </c>
      <c r="E65" s="6">
        <v>0.00542041351282921</v>
      </c>
      <c r="F65" s="6">
        <v>0.000946246929113502</v>
      </c>
      <c r="G65" s="8">
        <v>-0.8507248089348</v>
      </c>
    </row>
    <row r="66" spans="1:7">
      <c r="A66" s="3">
        <v>62</v>
      </c>
      <c r="B66" s="3" t="s">
        <v>183</v>
      </c>
      <c r="C66" s="5">
        <v>6233.85</v>
      </c>
      <c r="D66" s="5">
        <v>15645.73</v>
      </c>
      <c r="E66" s="6">
        <v>0.000322000083639391</v>
      </c>
      <c r="F66" s="6">
        <v>0.000945104641168836</v>
      </c>
      <c r="G66" s="7">
        <v>1.50980212870056</v>
      </c>
    </row>
    <row r="67" spans="1:7">
      <c r="A67" s="3">
        <v>63</v>
      </c>
      <c r="B67" s="3" t="s">
        <v>184</v>
      </c>
      <c r="C67" s="5">
        <v>18055.42</v>
      </c>
      <c r="D67" s="5">
        <v>15567.9</v>
      </c>
      <c r="E67" s="6">
        <v>0.000932625384015388</v>
      </c>
      <c r="F67" s="6">
        <v>0.000940403199035923</v>
      </c>
      <c r="G67" s="8">
        <v>-0.137771372806614</v>
      </c>
    </row>
    <row r="68" spans="1:7">
      <c r="A68" s="3">
        <v>64</v>
      </c>
      <c r="B68" s="3" t="s">
        <v>185</v>
      </c>
      <c r="C68" s="5">
        <v>5927.48</v>
      </c>
      <c r="D68" s="5">
        <v>15156.19</v>
      </c>
      <c r="E68" s="6">
        <v>0.000306175005136603</v>
      </c>
      <c r="F68" s="6">
        <v>0.00091553321650295</v>
      </c>
      <c r="G68" s="7">
        <v>1.55693650590133</v>
      </c>
    </row>
    <row r="69" spans="1:7">
      <c r="A69" s="3">
        <v>65</v>
      </c>
      <c r="B69" s="3" t="s">
        <v>186</v>
      </c>
      <c r="C69" s="5">
        <v>8731.67</v>
      </c>
      <c r="D69" s="5">
        <v>14313.79</v>
      </c>
      <c r="E69" s="6">
        <v>0.000451021194015185</v>
      </c>
      <c r="F69" s="6">
        <v>0.000864646735033525</v>
      </c>
      <c r="G69" s="7">
        <v>0.63929580481168</v>
      </c>
    </row>
    <row r="70" spans="1:7">
      <c r="A70" s="3">
        <v>66</v>
      </c>
      <c r="B70" s="3" t="s">
        <v>187</v>
      </c>
      <c r="C70" s="5">
        <v>18901.44</v>
      </c>
      <c r="D70" s="5">
        <v>13930.48</v>
      </c>
      <c r="E70" s="6">
        <v>0.000976325266232733</v>
      </c>
      <c r="F70" s="6">
        <v>0.000841492298646956</v>
      </c>
      <c r="G70" s="8">
        <v>-0.262993718997071</v>
      </c>
    </row>
    <row r="71" spans="1:7">
      <c r="A71" s="3">
        <v>67</v>
      </c>
      <c r="B71" s="3" t="s">
        <v>188</v>
      </c>
      <c r="C71" s="5">
        <v>21927.51</v>
      </c>
      <c r="D71" s="5">
        <v>13880.33</v>
      </c>
      <c r="E71" s="6">
        <v>0.0011326323305828</v>
      </c>
      <c r="F71" s="6">
        <v>0.000838462909941244</v>
      </c>
      <c r="G71" s="8">
        <v>-0.366990141607506</v>
      </c>
    </row>
    <row r="72" spans="1:7">
      <c r="A72" s="3">
        <v>68</v>
      </c>
      <c r="B72" s="3" t="s">
        <v>189</v>
      </c>
      <c r="C72" s="5">
        <v>20299.09</v>
      </c>
      <c r="D72" s="5">
        <v>13333.28</v>
      </c>
      <c r="E72" s="6">
        <v>0.0010485187609268</v>
      </c>
      <c r="F72" s="6">
        <v>0.000805417504328888</v>
      </c>
      <c r="G72" s="8">
        <v>-0.343158732731369</v>
      </c>
    </row>
    <row r="73" spans="1:7">
      <c r="A73" s="3">
        <v>69</v>
      </c>
      <c r="B73" s="3" t="s">
        <v>190</v>
      </c>
      <c r="C73" s="5">
        <v>0</v>
      </c>
      <c r="D73" s="5">
        <v>12644.79</v>
      </c>
      <c r="E73" s="6">
        <v>0</v>
      </c>
      <c r="F73" s="6">
        <v>0.000763828195654999</v>
      </c>
      <c r="G73" s="3"/>
    </row>
    <row r="74" spans="1:7">
      <c r="A74" s="3">
        <v>70</v>
      </c>
      <c r="B74" s="3" t="s">
        <v>191</v>
      </c>
      <c r="C74" s="5">
        <v>11007.21</v>
      </c>
      <c r="D74" s="5">
        <v>12535.56</v>
      </c>
      <c r="E74" s="6">
        <v>0.000568560767525099</v>
      </c>
      <c r="F74" s="6">
        <v>0.000757229987712328</v>
      </c>
      <c r="G74" s="7">
        <v>0.138849899293281</v>
      </c>
    </row>
    <row r="75" spans="1:7">
      <c r="A75" s="3">
        <v>71</v>
      </c>
      <c r="B75" s="3" t="s">
        <v>192</v>
      </c>
      <c r="C75" s="5">
        <v>47491.92</v>
      </c>
      <c r="D75" s="5">
        <v>12304.46</v>
      </c>
      <c r="E75" s="6">
        <v>0.00245312322436299</v>
      </c>
      <c r="F75" s="6">
        <v>0.000743270032978729</v>
      </c>
      <c r="G75" s="8">
        <v>-0.740914665063026</v>
      </c>
    </row>
    <row r="76" spans="1:7">
      <c r="A76" s="3">
        <v>72</v>
      </c>
      <c r="B76" s="3" t="s">
        <v>193</v>
      </c>
      <c r="C76" s="5">
        <v>20917.59</v>
      </c>
      <c r="D76" s="5">
        <v>12195.03</v>
      </c>
      <c r="E76" s="6">
        <v>0.00108046644201168</v>
      </c>
      <c r="F76" s="6">
        <v>0.000736659743725169</v>
      </c>
      <c r="G76" s="8">
        <v>-0.416996413066706</v>
      </c>
    </row>
    <row r="77" spans="1:7">
      <c r="A77" s="3">
        <v>73</v>
      </c>
      <c r="B77" s="3" t="s">
        <v>194</v>
      </c>
      <c r="C77" s="5">
        <v>16117.41</v>
      </c>
      <c r="D77" s="5">
        <v>12108.34</v>
      </c>
      <c r="E77" s="6">
        <v>0.000832520411631713</v>
      </c>
      <c r="F77" s="6">
        <v>0.000731423099519822</v>
      </c>
      <c r="G77" s="8">
        <v>-0.248741578206424</v>
      </c>
    </row>
    <row r="78" spans="1:7">
      <c r="A78" s="3">
        <v>74</v>
      </c>
      <c r="B78" s="3" t="s">
        <v>195</v>
      </c>
      <c r="C78" s="5">
        <v>13630.02</v>
      </c>
      <c r="D78" s="5">
        <v>11774.22</v>
      </c>
      <c r="E78" s="6">
        <v>0.000704038047114795</v>
      </c>
      <c r="F78" s="6">
        <v>0.000711240061546692</v>
      </c>
      <c r="G78" s="8">
        <v>-0.136155339463918</v>
      </c>
    </row>
    <row r="79" spans="1:7">
      <c r="A79" s="3">
        <v>75</v>
      </c>
      <c r="B79" s="3" t="s">
        <v>196</v>
      </c>
      <c r="C79" s="5">
        <v>647</v>
      </c>
      <c r="D79" s="5">
        <v>11756.19</v>
      </c>
      <c r="E79" s="6">
        <v>3.34198054355953e-5</v>
      </c>
      <c r="F79" s="6">
        <v>0.000710150931369943</v>
      </c>
      <c r="G79" s="7">
        <v>17.1703091190108</v>
      </c>
    </row>
    <row r="80" spans="1:7">
      <c r="A80" s="3">
        <v>76</v>
      </c>
      <c r="B80" s="3" t="s">
        <v>197</v>
      </c>
      <c r="C80" s="5">
        <v>11860.17</v>
      </c>
      <c r="D80" s="5">
        <v>11572.49</v>
      </c>
      <c r="E80" s="6">
        <v>0.000612619124935215</v>
      </c>
      <c r="F80" s="6">
        <v>0.000699054247317315</v>
      </c>
      <c r="G80" s="8">
        <v>-0.0242559760947778</v>
      </c>
    </row>
    <row r="81" spans="1:7">
      <c r="A81" s="3">
        <v>77</v>
      </c>
      <c r="B81" s="3" t="s">
        <v>198</v>
      </c>
      <c r="C81" s="5">
        <v>8726.49999999999</v>
      </c>
      <c r="D81" s="5">
        <v>11492.17</v>
      </c>
      <c r="E81" s="6">
        <v>0.000450754145492615</v>
      </c>
      <c r="F81" s="6">
        <v>0.00069420239286382</v>
      </c>
      <c r="G81" s="7">
        <v>0.316927748811093</v>
      </c>
    </row>
    <row r="82" spans="1:7">
      <c r="A82" s="3">
        <v>78</v>
      </c>
      <c r="B82" s="3" t="s">
        <v>199</v>
      </c>
      <c r="C82" s="5">
        <v>9368.36</v>
      </c>
      <c r="D82" s="5">
        <v>11357.04</v>
      </c>
      <c r="E82" s="6">
        <v>0.000483908452010222</v>
      </c>
      <c r="F82" s="6">
        <v>0.000686039655160872</v>
      </c>
      <c r="G82" s="7">
        <v>0.21227621483376</v>
      </c>
    </row>
    <row r="83" spans="1:7">
      <c r="A83" s="3">
        <v>79</v>
      </c>
      <c r="B83" s="3" t="s">
        <v>200</v>
      </c>
      <c r="C83" s="5">
        <v>2963.62</v>
      </c>
      <c r="D83" s="5">
        <v>10690.52</v>
      </c>
      <c r="E83" s="6">
        <v>0.000153081304149983</v>
      </c>
      <c r="F83" s="6">
        <v>0.000645777478488269</v>
      </c>
      <c r="G83" s="7">
        <v>2.60725059218118</v>
      </c>
    </row>
    <row r="84" spans="1:7">
      <c r="A84" s="3">
        <v>80</v>
      </c>
      <c r="B84" s="3" t="s">
        <v>201</v>
      </c>
      <c r="C84" s="5">
        <v>4952.84</v>
      </c>
      <c r="D84" s="5">
        <v>10215.91</v>
      </c>
      <c r="E84" s="6">
        <v>0.000255831451551211</v>
      </c>
      <c r="F84" s="6">
        <v>0.000617107923680334</v>
      </c>
      <c r="G84" s="7">
        <v>1.06263679020521</v>
      </c>
    </row>
    <row r="85" spans="1:7">
      <c r="A85" s="3">
        <v>81</v>
      </c>
      <c r="B85" s="3" t="s">
        <v>202</v>
      </c>
      <c r="C85" s="5">
        <v>11024.04</v>
      </c>
      <c r="D85" s="5">
        <v>10183.06</v>
      </c>
      <c r="E85" s="6">
        <v>0.000569430095694312</v>
      </c>
      <c r="F85" s="6">
        <v>0.000615123568366623</v>
      </c>
      <c r="G85" s="8">
        <v>-0.0762860076705093</v>
      </c>
    </row>
    <row r="86" spans="1:7">
      <c r="A86" s="3">
        <v>82</v>
      </c>
      <c r="B86" s="3" t="s">
        <v>203</v>
      </c>
      <c r="C86" s="5">
        <v>7402.35</v>
      </c>
      <c r="D86" s="5">
        <v>10167.98</v>
      </c>
      <c r="E86" s="6">
        <v>0.000382357182018824</v>
      </c>
      <c r="F86" s="6">
        <v>0.000614212637525503</v>
      </c>
      <c r="G86" s="7">
        <v>0.373615135733922</v>
      </c>
    </row>
    <row r="87" spans="1:7">
      <c r="A87" s="3">
        <v>83</v>
      </c>
      <c r="B87" s="3" t="s">
        <v>35</v>
      </c>
      <c r="C87" s="5">
        <v>4402.41</v>
      </c>
      <c r="D87" s="5">
        <v>9544.82</v>
      </c>
      <c r="E87" s="6">
        <v>0.00022739982325768</v>
      </c>
      <c r="F87" s="6">
        <v>0.00057656968905389</v>
      </c>
      <c r="G87" s="7">
        <v>1.16808975084102</v>
      </c>
    </row>
    <row r="88" spans="1:7">
      <c r="A88" s="3">
        <v>84</v>
      </c>
      <c r="B88" s="3" t="s">
        <v>204</v>
      </c>
      <c r="C88" s="5">
        <v>15147.8</v>
      </c>
      <c r="D88" s="5">
        <v>9358.41999999999</v>
      </c>
      <c r="E88" s="6">
        <v>0.000782436675080851</v>
      </c>
      <c r="F88" s="6">
        <v>0.000565309907304245</v>
      </c>
      <c r="G88" s="8">
        <v>-0.382192793673009</v>
      </c>
    </row>
    <row r="89" spans="1:7">
      <c r="A89" s="3">
        <v>85</v>
      </c>
      <c r="B89" s="3" t="s">
        <v>205</v>
      </c>
      <c r="C89" s="5">
        <v>15505.54</v>
      </c>
      <c r="D89" s="5">
        <v>9246.05</v>
      </c>
      <c r="E89" s="6">
        <v>0.00080091519315895</v>
      </c>
      <c r="F89" s="6">
        <v>0.0005585220227806</v>
      </c>
      <c r="G89" s="8">
        <v>-0.403693776546963</v>
      </c>
    </row>
    <row r="90" spans="1:7">
      <c r="A90" s="3">
        <v>86</v>
      </c>
      <c r="B90" s="3" t="s">
        <v>206</v>
      </c>
      <c r="C90" s="5">
        <v>16557.91</v>
      </c>
      <c r="D90" s="5">
        <v>8951.47</v>
      </c>
      <c r="E90" s="6">
        <v>0.000855273772210352</v>
      </c>
      <c r="F90" s="6">
        <v>0.000540727459970458</v>
      </c>
      <c r="G90" s="8">
        <v>-0.459384064776291</v>
      </c>
    </row>
    <row r="91" spans="1:7">
      <c r="A91" s="3">
        <v>87</v>
      </c>
      <c r="B91" s="3" t="s">
        <v>207</v>
      </c>
      <c r="C91" s="5">
        <v>13759.41</v>
      </c>
      <c r="D91" s="5">
        <v>8884.25</v>
      </c>
      <c r="E91" s="6">
        <v>0.000710721491667055</v>
      </c>
      <c r="F91" s="6">
        <v>0.00053666693138027</v>
      </c>
      <c r="G91" s="8">
        <v>-0.354314610873577</v>
      </c>
    </row>
    <row r="92" spans="1:7">
      <c r="A92" s="3">
        <v>88</v>
      </c>
      <c r="B92" s="3" t="s">
        <v>208</v>
      </c>
      <c r="C92" s="5">
        <v>9737.35</v>
      </c>
      <c r="D92" s="5">
        <v>8654.05</v>
      </c>
      <c r="E92" s="6">
        <v>0.000502968071805709</v>
      </c>
      <c r="F92" s="6">
        <v>0.000522761342545676</v>
      </c>
      <c r="G92" s="8">
        <v>-0.111252034691164</v>
      </c>
    </row>
    <row r="93" spans="1:7">
      <c r="A93" s="3">
        <v>89</v>
      </c>
      <c r="B93" s="3" t="s">
        <v>209</v>
      </c>
      <c r="C93" s="5">
        <v>0</v>
      </c>
      <c r="D93" s="5">
        <v>8349.75</v>
      </c>
      <c r="E93" s="6">
        <v>0</v>
      </c>
      <c r="F93" s="6">
        <v>0.000504379628026272</v>
      </c>
      <c r="G93" s="3"/>
    </row>
    <row r="94" spans="1:7">
      <c r="A94" s="3">
        <v>90</v>
      </c>
      <c r="B94" s="3" t="s">
        <v>210</v>
      </c>
      <c r="C94" s="5">
        <v>64409.96</v>
      </c>
      <c r="D94" s="5">
        <v>8311.21</v>
      </c>
      <c r="E94" s="6">
        <v>0.00332699896648296</v>
      </c>
      <c r="F94" s="6">
        <v>0.000502051559417735</v>
      </c>
      <c r="G94" s="8">
        <v>-0.870963900614129</v>
      </c>
    </row>
    <row r="95" spans="1:7">
      <c r="A95" s="3">
        <v>91</v>
      </c>
      <c r="B95" s="3" t="s">
        <v>211</v>
      </c>
      <c r="C95" s="5">
        <v>833.61</v>
      </c>
      <c r="D95" s="5">
        <v>8231.95</v>
      </c>
      <c r="E95" s="6">
        <v>4.3058862456208e-5</v>
      </c>
      <c r="F95" s="6">
        <v>0.000497263735911958</v>
      </c>
      <c r="G95" s="7">
        <v>8.87506147958878</v>
      </c>
    </row>
    <row r="96" spans="1:7">
      <c r="A96" s="3">
        <v>92</v>
      </c>
      <c r="B96" s="3" t="s">
        <v>212</v>
      </c>
      <c r="C96" s="5">
        <v>23762.72</v>
      </c>
      <c r="D96" s="5">
        <v>8151.77</v>
      </c>
      <c r="E96" s="6">
        <v>0.00122742732460669</v>
      </c>
      <c r="F96" s="6">
        <v>0.000492420338376086</v>
      </c>
      <c r="G96" s="8">
        <v>-0.656951308604402</v>
      </c>
    </row>
    <row r="97" spans="1:7">
      <c r="A97" s="3">
        <v>93</v>
      </c>
      <c r="B97" s="3" t="s">
        <v>213</v>
      </c>
      <c r="C97" s="5">
        <v>17022.44</v>
      </c>
      <c r="D97" s="5">
        <v>8106.67</v>
      </c>
      <c r="E97" s="6">
        <v>0.000879268366057333</v>
      </c>
      <c r="F97" s="6">
        <v>0.000489696002770351</v>
      </c>
      <c r="G97" s="8">
        <v>-0.523765688115218</v>
      </c>
    </row>
    <row r="98" spans="1:7">
      <c r="A98" s="3">
        <v>94</v>
      </c>
      <c r="B98" s="3" t="s">
        <v>214</v>
      </c>
      <c r="C98" s="5">
        <v>22776.35</v>
      </c>
      <c r="D98" s="5">
        <v>8056.01</v>
      </c>
      <c r="E98" s="6">
        <v>0.00117647787563064</v>
      </c>
      <c r="F98" s="6">
        <v>0.000486635806721869</v>
      </c>
      <c r="G98" s="8">
        <v>-0.646299341202607</v>
      </c>
    </row>
    <row r="99" spans="1:7">
      <c r="A99" s="3">
        <v>95</v>
      </c>
      <c r="B99" s="3" t="s">
        <v>215</v>
      </c>
      <c r="C99" s="5">
        <v>10287.65</v>
      </c>
      <c r="D99" s="5">
        <v>8025.31</v>
      </c>
      <c r="E99" s="6">
        <v>0.000531392985146062</v>
      </c>
      <c r="F99" s="6">
        <v>0.000484781325500227</v>
      </c>
      <c r="G99" s="8">
        <v>-0.219908336694969</v>
      </c>
    </row>
    <row r="100" spans="1:7">
      <c r="A100" s="3">
        <v>96</v>
      </c>
      <c r="B100" s="3" t="s">
        <v>216</v>
      </c>
      <c r="C100" s="5">
        <v>0</v>
      </c>
      <c r="D100" s="5">
        <v>7260.42</v>
      </c>
      <c r="E100" s="6">
        <v>0</v>
      </c>
      <c r="F100" s="6">
        <v>0.00043857695606629</v>
      </c>
      <c r="G100" s="3"/>
    </row>
    <row r="101" spans="1:7">
      <c r="A101" s="3">
        <v>97</v>
      </c>
      <c r="B101" s="3" t="s">
        <v>217</v>
      </c>
      <c r="C101" s="5">
        <v>27.98</v>
      </c>
      <c r="D101" s="5">
        <v>7218.95</v>
      </c>
      <c r="E101" s="6">
        <v>1.44526453800302e-6</v>
      </c>
      <c r="F101" s="6">
        <v>0.000436071896253212</v>
      </c>
      <c r="G101" s="7">
        <v>257.003931379557</v>
      </c>
    </row>
    <row r="102" spans="1:7">
      <c r="A102" s="3">
        <v>98</v>
      </c>
      <c r="B102" s="3" t="s">
        <v>218</v>
      </c>
      <c r="C102" s="5">
        <v>18963.9</v>
      </c>
      <c r="D102" s="5">
        <v>7077.3</v>
      </c>
      <c r="E102" s="6">
        <v>0.000979551542967675</v>
      </c>
      <c r="F102" s="6">
        <v>0.000427515307815244</v>
      </c>
      <c r="G102" s="8">
        <v>-0.626801449069021</v>
      </c>
    </row>
    <row r="103" spans="1:7">
      <c r="A103" s="3">
        <v>99</v>
      </c>
      <c r="B103" s="3" t="s">
        <v>219</v>
      </c>
      <c r="C103" s="5">
        <v>11089.72</v>
      </c>
      <c r="D103" s="5">
        <v>7074.71</v>
      </c>
      <c r="E103" s="6">
        <v>0.000572822696654142</v>
      </c>
      <c r="F103" s="6">
        <v>0.000427358854839216</v>
      </c>
      <c r="G103" s="8">
        <v>-0.362047914645276</v>
      </c>
    </row>
    <row r="104" spans="1:7">
      <c r="A104" s="3">
        <v>100</v>
      </c>
      <c r="B104" s="3" t="s">
        <v>220</v>
      </c>
      <c r="C104" s="5">
        <v>1149.19</v>
      </c>
      <c r="D104" s="5">
        <v>6876.79</v>
      </c>
      <c r="E104" s="6">
        <v>5.93596695649641e-5</v>
      </c>
      <c r="F104" s="6">
        <v>0.000415403189582297</v>
      </c>
      <c r="G104" s="7">
        <v>4.98403223139777</v>
      </c>
    </row>
    <row r="105" spans="1:7">
      <c r="A105" s="3">
        <v>101</v>
      </c>
      <c r="B105" s="3" t="s">
        <v>221</v>
      </c>
      <c r="C105" s="5">
        <v>14573.74</v>
      </c>
      <c r="D105" s="5">
        <v>6758.92</v>
      </c>
      <c r="E105" s="6">
        <v>0.000752784474913373</v>
      </c>
      <c r="F105" s="6">
        <v>0.000408283069009171</v>
      </c>
      <c r="G105" s="8">
        <v>-0.536226116288612</v>
      </c>
    </row>
    <row r="106" spans="1:7">
      <c r="A106" s="3">
        <v>102</v>
      </c>
      <c r="B106" s="3" t="s">
        <v>222</v>
      </c>
      <c r="C106" s="5">
        <v>0</v>
      </c>
      <c r="D106" s="5">
        <v>6624.1</v>
      </c>
      <c r="E106" s="6">
        <v>0</v>
      </c>
      <c r="F106" s="6">
        <v>0.000400139057338103</v>
      </c>
      <c r="G106" s="3"/>
    </row>
    <row r="107" spans="1:7">
      <c r="A107" s="3">
        <v>103</v>
      </c>
      <c r="B107" s="3" t="s">
        <v>223</v>
      </c>
      <c r="C107" s="5">
        <v>7533.42</v>
      </c>
      <c r="D107" s="5">
        <v>6315.01</v>
      </c>
      <c r="E107" s="6">
        <v>0.000389127404427546</v>
      </c>
      <c r="F107" s="6">
        <v>0.000381467995422879</v>
      </c>
      <c r="G107" s="8">
        <v>-0.161733980051557</v>
      </c>
    </row>
    <row r="108" spans="1:7">
      <c r="A108" s="3">
        <v>104</v>
      </c>
      <c r="B108" s="3" t="s">
        <v>224</v>
      </c>
      <c r="C108" s="5">
        <v>0</v>
      </c>
      <c r="D108" s="5">
        <v>6295.5</v>
      </c>
      <c r="E108" s="6">
        <v>0</v>
      </c>
      <c r="F108" s="6">
        <v>0.000380289463545543</v>
      </c>
      <c r="G108" s="3"/>
    </row>
    <row r="109" spans="1:7">
      <c r="A109" s="3">
        <v>105</v>
      </c>
      <c r="B109" s="3" t="s">
        <v>225</v>
      </c>
      <c r="C109" s="5">
        <v>18335.89</v>
      </c>
      <c r="D109" s="5">
        <v>6258.35</v>
      </c>
      <c r="E109" s="6">
        <v>0.000947112637231032</v>
      </c>
      <c r="F109" s="6">
        <v>0.000378045360047692</v>
      </c>
      <c r="G109" s="8">
        <v>-0.65868305274519</v>
      </c>
    </row>
    <row r="110" spans="1:7">
      <c r="A110" s="3">
        <v>106</v>
      </c>
      <c r="B110" s="3" t="s">
        <v>226</v>
      </c>
      <c r="C110" s="5">
        <v>14132.88</v>
      </c>
      <c r="D110" s="5">
        <v>6101.87</v>
      </c>
      <c r="E110" s="6">
        <v>0.000730012519079778</v>
      </c>
      <c r="F110" s="6">
        <v>0.000368592942407218</v>
      </c>
      <c r="G110" s="8">
        <v>-0.568250066511568</v>
      </c>
    </row>
    <row r="111" spans="1:7">
      <c r="A111" s="3">
        <v>107</v>
      </c>
      <c r="B111" s="3" t="s">
        <v>227</v>
      </c>
      <c r="C111" s="5">
        <v>13936.05</v>
      </c>
      <c r="D111" s="5">
        <v>6071.5</v>
      </c>
      <c r="E111" s="6">
        <v>0.000719845563432346</v>
      </c>
      <c r="F111" s="6">
        <v>0.000366758395348545</v>
      </c>
      <c r="G111" s="8">
        <v>-0.564331356446052</v>
      </c>
    </row>
    <row r="112" spans="1:7">
      <c r="A112" s="3">
        <v>108</v>
      </c>
      <c r="B112" s="3" t="s">
        <v>228</v>
      </c>
      <c r="C112" s="5">
        <v>10909.29</v>
      </c>
      <c r="D112" s="5">
        <v>6037.18</v>
      </c>
      <c r="E112" s="6">
        <v>0.000563502858176948</v>
      </c>
      <c r="F112" s="6">
        <v>0.00036468524239979</v>
      </c>
      <c r="G112" s="8">
        <v>-0.446601932848059</v>
      </c>
    </row>
    <row r="113" spans="1:7">
      <c r="A113" s="3">
        <v>109</v>
      </c>
      <c r="B113" s="3" t="s">
        <v>229</v>
      </c>
      <c r="C113" s="5">
        <v>12827.73</v>
      </c>
      <c r="D113" s="5">
        <v>5922.99</v>
      </c>
      <c r="E113" s="6">
        <v>0.000662596971839797</v>
      </c>
      <c r="F113" s="6">
        <v>0.000357787417947044</v>
      </c>
      <c r="G113" s="8">
        <v>-0.53826670813932</v>
      </c>
    </row>
    <row r="114" spans="1:7">
      <c r="A114" s="3">
        <v>110</v>
      </c>
      <c r="B114" s="3" t="s">
        <v>230</v>
      </c>
      <c r="C114" s="5">
        <v>4927.3</v>
      </c>
      <c r="D114" s="5">
        <v>5883.29</v>
      </c>
      <c r="E114" s="6">
        <v>0.000254512221519024</v>
      </c>
      <c r="F114" s="6">
        <v>0.000355389277735344</v>
      </c>
      <c r="G114" s="7">
        <v>0.194019036794999</v>
      </c>
    </row>
    <row r="115" spans="1:7">
      <c r="A115" s="3">
        <v>111</v>
      </c>
      <c r="B115" s="3" t="s">
        <v>231</v>
      </c>
      <c r="C115" s="5">
        <v>2513.11</v>
      </c>
      <c r="D115" s="5">
        <v>5847.41</v>
      </c>
      <c r="E115" s="6">
        <v>0.000129810892176583</v>
      </c>
      <c r="F115" s="6">
        <v>0.000353221890561646</v>
      </c>
      <c r="G115" s="7">
        <v>1.32676245767197</v>
      </c>
    </row>
    <row r="116" spans="1:7">
      <c r="A116" s="3">
        <v>112</v>
      </c>
      <c r="B116" s="3" t="s">
        <v>232</v>
      </c>
      <c r="C116" s="5">
        <v>0</v>
      </c>
      <c r="D116" s="5">
        <v>5796.69</v>
      </c>
      <c r="E116" s="6">
        <v>0</v>
      </c>
      <c r="F116" s="6">
        <v>0.000350158070119897</v>
      </c>
      <c r="G116" s="3"/>
    </row>
    <row r="117" spans="1:7">
      <c r="A117" s="3">
        <v>113</v>
      </c>
      <c r="B117" s="3" t="s">
        <v>233</v>
      </c>
      <c r="C117" s="5">
        <v>12392.77</v>
      </c>
      <c r="D117" s="5">
        <v>5795.25</v>
      </c>
      <c r="E117" s="6">
        <v>0.000640129771573543</v>
      </c>
      <c r="F117" s="6">
        <v>0.000350071084681488</v>
      </c>
      <c r="G117" s="8">
        <v>-0.532368469680305</v>
      </c>
    </row>
    <row r="118" spans="1:7">
      <c r="A118" s="3">
        <v>114</v>
      </c>
      <c r="B118" s="3" t="s">
        <v>234</v>
      </c>
      <c r="C118" s="5">
        <v>134.99</v>
      </c>
      <c r="D118" s="5">
        <v>5476.72</v>
      </c>
      <c r="E118" s="6">
        <v>6.97270407380373e-6</v>
      </c>
      <c r="F118" s="6">
        <v>0.000330829784892248</v>
      </c>
      <c r="G118" s="7">
        <v>39.5713015778947</v>
      </c>
    </row>
    <row r="119" spans="1:7">
      <c r="A119" s="3">
        <v>115</v>
      </c>
      <c r="B119" s="3" t="s">
        <v>235</v>
      </c>
      <c r="C119" s="5">
        <v>126514.57</v>
      </c>
      <c r="D119" s="5">
        <v>5391.12</v>
      </c>
      <c r="E119" s="6">
        <v>0.00653491856903864</v>
      </c>
      <c r="F119" s="6">
        <v>0.000325658983831252</v>
      </c>
      <c r="G119" s="8">
        <v>-0.957387358625967</v>
      </c>
    </row>
    <row r="120" spans="1:7">
      <c r="A120" s="3">
        <v>116</v>
      </c>
      <c r="B120" s="3" t="s">
        <v>236</v>
      </c>
      <c r="C120" s="5">
        <v>401.38</v>
      </c>
      <c r="D120" s="5">
        <v>5289.26</v>
      </c>
      <c r="E120" s="6">
        <v>2.07326762067067e-5</v>
      </c>
      <c r="F120" s="6">
        <v>0.000319505972194885</v>
      </c>
      <c r="G120" s="7">
        <v>12.1776869799193</v>
      </c>
    </row>
    <row r="121" spans="1:7">
      <c r="A121" s="3">
        <v>117</v>
      </c>
      <c r="B121" s="3" t="s">
        <v>237</v>
      </c>
      <c r="C121" s="5">
        <v>20157.02</v>
      </c>
      <c r="D121" s="5">
        <v>5238.14</v>
      </c>
      <c r="E121" s="6">
        <v>0.00104118035017218</v>
      </c>
      <c r="F121" s="6">
        <v>0.000316417989131356</v>
      </c>
      <c r="G121" s="8">
        <v>-0.74013321413582</v>
      </c>
    </row>
    <row r="122" spans="1:7">
      <c r="A122" s="3">
        <v>118</v>
      </c>
      <c r="B122" s="3" t="s">
        <v>238</v>
      </c>
      <c r="C122" s="5">
        <v>9210.53</v>
      </c>
      <c r="D122" s="5">
        <v>5073.66</v>
      </c>
      <c r="E122" s="6">
        <v>0.000475755982316404</v>
      </c>
      <c r="F122" s="6">
        <v>0.000306482319055274</v>
      </c>
      <c r="G122" s="8">
        <v>-0.449145706056004</v>
      </c>
    </row>
    <row r="123" spans="1:7">
      <c r="A123" s="3">
        <v>119</v>
      </c>
      <c r="B123" s="3" t="s">
        <v>239</v>
      </c>
      <c r="C123" s="5">
        <v>5873.75</v>
      </c>
      <c r="D123" s="5">
        <v>5047.15</v>
      </c>
      <c r="E123" s="6">
        <v>0.000303399663334355</v>
      </c>
      <c r="F123" s="6">
        <v>0.000304880941296781</v>
      </c>
      <c r="G123" s="8">
        <v>-0.140727814428602</v>
      </c>
    </row>
    <row r="124" spans="1:7">
      <c r="A124" s="3">
        <v>120</v>
      </c>
      <c r="B124" s="3" t="s">
        <v>240</v>
      </c>
      <c r="C124" s="5">
        <v>42396.9</v>
      </c>
      <c r="D124" s="5">
        <v>4975.03</v>
      </c>
      <c r="E124" s="6">
        <v>0.00218994768017371</v>
      </c>
      <c r="F124" s="6">
        <v>0.000300524420589783</v>
      </c>
      <c r="G124" s="8">
        <v>-0.882655807382144</v>
      </c>
    </row>
    <row r="125" spans="1:7">
      <c r="A125" s="3">
        <v>121</v>
      </c>
      <c r="B125" s="3" t="s">
        <v>241</v>
      </c>
      <c r="C125" s="5">
        <v>11521.22</v>
      </c>
      <c r="D125" s="5">
        <v>4932.97</v>
      </c>
      <c r="E125" s="6">
        <v>0.000595111175858871</v>
      </c>
      <c r="F125" s="6">
        <v>0.000297983720909579</v>
      </c>
      <c r="G125" s="8">
        <v>-0.57183614235298</v>
      </c>
    </row>
    <row r="126" spans="1:7">
      <c r="A126" s="3">
        <v>122</v>
      </c>
      <c r="B126" s="3" t="s">
        <v>242</v>
      </c>
      <c r="C126" s="5">
        <v>4267.63</v>
      </c>
      <c r="D126" s="5">
        <v>4870.82</v>
      </c>
      <c r="E126" s="6">
        <v>0.000220437966415934</v>
      </c>
      <c r="F126" s="6">
        <v>0.000294229453550457</v>
      </c>
      <c r="G126" s="7">
        <v>0.141340744160108</v>
      </c>
    </row>
    <row r="127" spans="1:7">
      <c r="A127" s="3">
        <v>123</v>
      </c>
      <c r="B127" s="3" t="s">
        <v>243</v>
      </c>
      <c r="C127" s="5">
        <v>9980.1</v>
      </c>
      <c r="D127" s="5">
        <v>4778.84</v>
      </c>
      <c r="E127" s="6">
        <v>0.000515506955529806</v>
      </c>
      <c r="F127" s="6">
        <v>0.000288673258672064</v>
      </c>
      <c r="G127" s="8">
        <v>-0.52116311459805</v>
      </c>
    </row>
    <row r="128" spans="1:7">
      <c r="A128" s="3">
        <v>124</v>
      </c>
      <c r="B128" s="3" t="s">
        <v>244</v>
      </c>
      <c r="C128" s="5">
        <v>259.74</v>
      </c>
      <c r="D128" s="5">
        <v>4770.82</v>
      </c>
      <c r="E128" s="6">
        <v>1.34164764510688e-5</v>
      </c>
      <c r="F128" s="6">
        <v>0.000288188798105368</v>
      </c>
      <c r="G128" s="7">
        <v>17.3676753676754</v>
      </c>
    </row>
    <row r="129" spans="1:7">
      <c r="A129" s="3">
        <v>125</v>
      </c>
      <c r="B129" s="3" t="s">
        <v>245</v>
      </c>
      <c r="C129" s="5">
        <v>655.77</v>
      </c>
      <c r="D129" s="5">
        <v>4641.07</v>
      </c>
      <c r="E129" s="6">
        <v>3.38728065077285e-5</v>
      </c>
      <c r="F129" s="6">
        <v>0.000280351047665366</v>
      </c>
      <c r="G129" s="7">
        <v>6.0772831938027</v>
      </c>
    </row>
    <row r="130" spans="1:7">
      <c r="A130" s="3">
        <v>126</v>
      </c>
      <c r="B130" s="3" t="s">
        <v>246</v>
      </c>
      <c r="C130" s="5">
        <v>3349.89</v>
      </c>
      <c r="D130" s="5">
        <v>4554.12</v>
      </c>
      <c r="E130" s="6">
        <v>0.000173033496183379</v>
      </c>
      <c r="F130" s="6">
        <v>0.000275098697755862</v>
      </c>
      <c r="G130" s="7">
        <v>0.359483445725084</v>
      </c>
    </row>
    <row r="131" spans="1:7">
      <c r="A131" s="3">
        <v>127</v>
      </c>
      <c r="B131" s="3" t="s">
        <v>247</v>
      </c>
      <c r="C131" s="5">
        <v>8387.13</v>
      </c>
      <c r="D131" s="5">
        <v>4501</v>
      </c>
      <c r="E131" s="6">
        <v>0.000433224501952155</v>
      </c>
      <c r="F131" s="6">
        <v>0.000271889901583431</v>
      </c>
      <c r="G131" s="8">
        <v>-0.463344433673975</v>
      </c>
    </row>
    <row r="132" spans="1:7">
      <c r="A132" s="3">
        <v>128</v>
      </c>
      <c r="B132" s="3" t="s">
        <v>248</v>
      </c>
      <c r="C132" s="5">
        <v>1244.49</v>
      </c>
      <c r="D132" s="5">
        <v>4443.25</v>
      </c>
      <c r="E132" s="6">
        <v>6.42822467798207e-5</v>
      </c>
      <c r="F132" s="6">
        <v>0.000268401423063892</v>
      </c>
      <c r="G132" s="7">
        <v>2.57033805012495</v>
      </c>
    </row>
    <row r="133" spans="1:7">
      <c r="A133" s="3">
        <v>129</v>
      </c>
      <c r="B133" s="3" t="s">
        <v>249</v>
      </c>
      <c r="C133" s="5">
        <v>2677.83</v>
      </c>
      <c r="D133" s="5">
        <v>4422.86</v>
      </c>
      <c r="E133" s="6">
        <v>0.000138319254388872</v>
      </c>
      <c r="F133" s="6">
        <v>0.000267169733418638</v>
      </c>
      <c r="G133" s="7">
        <v>0.651658245669068</v>
      </c>
    </row>
    <row r="134" spans="1:7">
      <c r="A134" s="3">
        <v>130</v>
      </c>
      <c r="B134" s="3" t="s">
        <v>250</v>
      </c>
      <c r="C134" s="5">
        <v>988.16</v>
      </c>
      <c r="D134" s="5">
        <v>4191.59</v>
      </c>
      <c r="E134" s="6">
        <v>5.10419087159781e-5</v>
      </c>
      <c r="F134" s="6">
        <v>0.000253199509570782</v>
      </c>
      <c r="G134" s="7">
        <v>3.24181306670984</v>
      </c>
    </row>
    <row r="135" spans="1:7">
      <c r="A135" s="3">
        <v>131</v>
      </c>
      <c r="B135" s="3" t="s">
        <v>251</v>
      </c>
      <c r="C135" s="5">
        <v>4920.92</v>
      </c>
      <c r="D135" s="5">
        <v>4155.54</v>
      </c>
      <c r="E135" s="6">
        <v>0.000254182672278407</v>
      </c>
      <c r="F135" s="6">
        <v>0.000251021853282828</v>
      </c>
      <c r="G135" s="8">
        <v>-0.155535956691025</v>
      </c>
    </row>
    <row r="136" spans="1:7">
      <c r="A136" s="3">
        <v>132</v>
      </c>
      <c r="B136" s="3" t="s">
        <v>252</v>
      </c>
      <c r="C136" s="5">
        <v>14693.5</v>
      </c>
      <c r="D136" s="5">
        <v>4139.51</v>
      </c>
      <c r="E136" s="6">
        <v>0.000758970496395548</v>
      </c>
      <c r="F136" s="6">
        <v>0.00025005353621498</v>
      </c>
      <c r="G136" s="8">
        <v>-0.718276108483343</v>
      </c>
    </row>
    <row r="137" spans="1:7">
      <c r="A137" s="3">
        <v>133</v>
      </c>
      <c r="B137" s="3" t="s">
        <v>253</v>
      </c>
      <c r="C137" s="5">
        <v>1589.06</v>
      </c>
      <c r="D137" s="5">
        <v>4104.42</v>
      </c>
      <c r="E137" s="6">
        <v>8.20804884474298e-5</v>
      </c>
      <c r="F137" s="6">
        <v>0.000247933870219299</v>
      </c>
      <c r="G137" s="7">
        <v>1.58292323763734</v>
      </c>
    </row>
    <row r="138" spans="1:7">
      <c r="A138" s="3">
        <v>134</v>
      </c>
      <c r="B138" s="3" t="s">
        <v>254</v>
      </c>
      <c r="C138" s="5">
        <v>5711</v>
      </c>
      <c r="D138" s="5">
        <v>4101.47</v>
      </c>
      <c r="E138" s="6">
        <v>0.000294993058489466</v>
      </c>
      <c r="F138" s="6">
        <v>0.000247755670883669</v>
      </c>
      <c r="G138" s="8">
        <v>-0.281829802136228</v>
      </c>
    </row>
    <row r="139" spans="1:7">
      <c r="A139" s="3">
        <v>135</v>
      </c>
      <c r="B139" s="3" t="s">
        <v>255</v>
      </c>
      <c r="C139" s="5">
        <v>154.41</v>
      </c>
      <c r="D139" s="5">
        <v>4054.51</v>
      </c>
      <c r="E139" s="6">
        <v>7.97581477173149e-6</v>
      </c>
      <c r="F139" s="6">
        <v>0.000244918979086655</v>
      </c>
      <c r="G139" s="7">
        <v>25.2580791399521</v>
      </c>
    </row>
    <row r="140" spans="1:7">
      <c r="A140" s="3">
        <v>136</v>
      </c>
      <c r="B140" s="3" t="s">
        <v>256</v>
      </c>
      <c r="C140" s="5">
        <v>3729.67</v>
      </c>
      <c r="D140" s="5">
        <v>4004.6</v>
      </c>
      <c r="E140" s="6">
        <v>0.0001926504570927</v>
      </c>
      <c r="F140" s="6">
        <v>0.000241904087954012</v>
      </c>
      <c r="G140" s="7">
        <v>0.0737142964390951</v>
      </c>
    </row>
    <row r="141" spans="1:7">
      <c r="A141" s="3">
        <v>137</v>
      </c>
      <c r="B141" s="3" t="s">
        <v>257</v>
      </c>
      <c r="C141" s="5">
        <v>14927.67</v>
      </c>
      <c r="D141" s="5">
        <v>4003.54</v>
      </c>
      <c r="E141" s="6">
        <v>0.00077106619320985</v>
      </c>
      <c r="F141" s="6">
        <v>0.000241840057006294</v>
      </c>
      <c r="G141" s="8">
        <v>-0.731804092668179</v>
      </c>
    </row>
    <row r="142" spans="1:7">
      <c r="A142" s="3">
        <v>138</v>
      </c>
      <c r="B142" s="3" t="s">
        <v>258</v>
      </c>
      <c r="C142" s="5">
        <v>6572.55</v>
      </c>
      <c r="D142" s="5">
        <v>3996.38</v>
      </c>
      <c r="E142" s="6">
        <v>0.000339495119344238</v>
      </c>
      <c r="F142" s="6">
        <v>0.000241407546076425</v>
      </c>
      <c r="G142" s="8">
        <v>-0.39195898091304</v>
      </c>
    </row>
    <row r="143" spans="1:7">
      <c r="A143" s="3">
        <v>139</v>
      </c>
      <c r="B143" s="3" t="s">
        <v>259</v>
      </c>
      <c r="C143" s="5">
        <v>1513.94</v>
      </c>
      <c r="D143" s="5">
        <v>3962.45</v>
      </c>
      <c r="E143" s="6">
        <v>7.82002785798534e-5</v>
      </c>
      <c r="F143" s="6">
        <v>0.000239357951683907</v>
      </c>
      <c r="G143" s="7">
        <v>1.61730980091681</v>
      </c>
    </row>
    <row r="144" spans="1:7">
      <c r="A144" s="3">
        <v>140</v>
      </c>
      <c r="B144" s="3" t="s">
        <v>260</v>
      </c>
      <c r="C144" s="5">
        <v>8057.38</v>
      </c>
      <c r="D144" s="5">
        <v>3940.6</v>
      </c>
      <c r="E144" s="6">
        <v>0.000416191764946919</v>
      </c>
      <c r="F144" s="6">
        <v>0.000238038068469155</v>
      </c>
      <c r="G144" s="8">
        <v>-0.510932834246368</v>
      </c>
    </row>
    <row r="145" spans="1:7">
      <c r="A145" s="3">
        <v>141</v>
      </c>
      <c r="B145" s="3" t="s">
        <v>261</v>
      </c>
      <c r="C145" s="5">
        <v>4386.31</v>
      </c>
      <c r="D145" s="5">
        <v>3930.37</v>
      </c>
      <c r="E145" s="6">
        <v>0.00022656820213324</v>
      </c>
      <c r="F145" s="6">
        <v>0.000237420109417123</v>
      </c>
      <c r="G145" s="8">
        <v>-0.103946141517585</v>
      </c>
    </row>
    <row r="146" spans="1:7">
      <c r="A146" s="3">
        <v>142</v>
      </c>
      <c r="B146" s="3" t="s">
        <v>262</v>
      </c>
      <c r="C146" s="5">
        <v>1778.8</v>
      </c>
      <c r="D146" s="5">
        <v>3923.62</v>
      </c>
      <c r="E146" s="6">
        <v>9.18812208791915e-5</v>
      </c>
      <c r="F146" s="6">
        <v>0.000237012365174579</v>
      </c>
      <c r="G146" s="7">
        <v>1.20576793343827</v>
      </c>
    </row>
    <row r="147" spans="1:7">
      <c r="A147" s="3">
        <v>143</v>
      </c>
      <c r="B147" s="3" t="s">
        <v>263</v>
      </c>
      <c r="C147" s="5">
        <v>5851.39</v>
      </c>
      <c r="D147" s="5">
        <v>3860.14</v>
      </c>
      <c r="E147" s="6">
        <v>0.000302244691387617</v>
      </c>
      <c r="F147" s="6">
        <v>0.000233177757098037</v>
      </c>
      <c r="G147" s="8">
        <v>-0.340303756885116</v>
      </c>
    </row>
    <row r="148" spans="1:7">
      <c r="A148" s="3">
        <v>144</v>
      </c>
      <c r="B148" s="3" t="s">
        <v>264</v>
      </c>
      <c r="C148" s="5">
        <v>10379.59</v>
      </c>
      <c r="D148" s="5">
        <v>3851.09</v>
      </c>
      <c r="E148" s="6">
        <v>0.000536142006647992</v>
      </c>
      <c r="F148" s="6">
        <v>0.000232631077780256</v>
      </c>
      <c r="G148" s="8">
        <v>-0.628974747557466</v>
      </c>
    </row>
    <row r="149" spans="1:7">
      <c r="A149" s="3">
        <v>145</v>
      </c>
      <c r="B149" s="3" t="s">
        <v>265</v>
      </c>
      <c r="C149" s="5">
        <v>8284.25</v>
      </c>
      <c r="D149" s="5">
        <v>3845</v>
      </c>
      <c r="E149" s="6">
        <v>0.000427910391313494</v>
      </c>
      <c r="F149" s="6">
        <v>0.00023226320186365</v>
      </c>
      <c r="G149" s="8">
        <v>-0.535866252225609</v>
      </c>
    </row>
    <row r="150" spans="1:7">
      <c r="A150" s="3">
        <v>146</v>
      </c>
      <c r="B150" s="3" t="s">
        <v>266</v>
      </c>
      <c r="C150" s="5">
        <v>2091.76</v>
      </c>
      <c r="D150" s="5">
        <v>3755.92</v>
      </c>
      <c r="E150" s="6">
        <v>0.000108046695854653</v>
      </c>
      <c r="F150" s="6">
        <v>0.000226882185993166</v>
      </c>
      <c r="G150" s="7">
        <v>0.795578842697059</v>
      </c>
    </row>
    <row r="151" spans="1:7">
      <c r="A151" s="3">
        <v>147</v>
      </c>
      <c r="B151" s="3" t="s">
        <v>267</v>
      </c>
      <c r="C151" s="5">
        <v>9570.21</v>
      </c>
      <c r="D151" s="5">
        <v>3710.34</v>
      </c>
      <c r="E151" s="6">
        <v>0.000494334708157324</v>
      </c>
      <c r="F151" s="6">
        <v>0.000224128855241294</v>
      </c>
      <c r="G151" s="8">
        <v>-0.612303178300163</v>
      </c>
    </row>
    <row r="152" spans="1:7">
      <c r="A152" s="3">
        <v>148</v>
      </c>
      <c r="B152" s="3" t="s">
        <v>268</v>
      </c>
      <c r="C152" s="5">
        <v>5569.14</v>
      </c>
      <c r="D152" s="5">
        <v>3616.58</v>
      </c>
      <c r="E152" s="6">
        <v>0.000287665494966911</v>
      </c>
      <c r="F152" s="6">
        <v>0.00021846513669598</v>
      </c>
      <c r="G152" s="8">
        <v>-0.350603504311258</v>
      </c>
    </row>
    <row r="153" spans="1:7">
      <c r="A153" s="3">
        <v>149</v>
      </c>
      <c r="B153" s="3" t="s">
        <v>269</v>
      </c>
      <c r="C153" s="5">
        <v>14372.22</v>
      </c>
      <c r="D153" s="5">
        <v>3577.22</v>
      </c>
      <c r="E153" s="6">
        <v>0.000742375264416648</v>
      </c>
      <c r="F153" s="6">
        <v>0.000216087534712793</v>
      </c>
      <c r="G153" s="8">
        <v>-0.751101778291732</v>
      </c>
    </row>
    <row r="154" spans="1:7">
      <c r="A154" s="3">
        <v>150</v>
      </c>
      <c r="B154" s="3" t="s">
        <v>270</v>
      </c>
      <c r="C154" s="5">
        <v>1063.96</v>
      </c>
      <c r="D154" s="5">
        <v>3541.82</v>
      </c>
      <c r="E154" s="6">
        <v>5.49572429540278e-5</v>
      </c>
      <c r="F154" s="6">
        <v>0.000213949142685231</v>
      </c>
      <c r="G154" s="7">
        <v>2.32890334223091</v>
      </c>
    </row>
    <row r="155" spans="1:7">
      <c r="A155" s="3">
        <v>151</v>
      </c>
      <c r="B155" s="3" t="s">
        <v>271</v>
      </c>
      <c r="C155" s="5">
        <v>9876.3</v>
      </c>
      <c r="D155" s="5">
        <v>3502.84</v>
      </c>
      <c r="E155" s="6">
        <v>0.000510145323684034</v>
      </c>
      <c r="F155" s="6">
        <v>0.000211594495192736</v>
      </c>
      <c r="G155" s="8">
        <v>-0.645328716219637</v>
      </c>
    </row>
    <row r="156" spans="1:7">
      <c r="A156" s="3">
        <v>152</v>
      </c>
      <c r="B156" s="3" t="s">
        <v>272</v>
      </c>
      <c r="C156" s="5">
        <v>7739.16</v>
      </c>
      <c r="D156" s="5">
        <v>3482.45</v>
      </c>
      <c r="E156" s="6">
        <v>0.000399754592635149</v>
      </c>
      <c r="F156" s="6">
        <v>0.000210362805547482</v>
      </c>
      <c r="G156" s="8">
        <v>-0.550022224634198</v>
      </c>
    </row>
    <row r="157" spans="1:7">
      <c r="A157" s="3">
        <v>153</v>
      </c>
      <c r="B157" s="3" t="s">
        <v>273</v>
      </c>
      <c r="C157" s="5">
        <v>767.7</v>
      </c>
      <c r="D157" s="5">
        <v>3412.88</v>
      </c>
      <c r="E157" s="6">
        <v>3.96543811946005e-5</v>
      </c>
      <c r="F157" s="6">
        <v>0.000206160321554334</v>
      </c>
      <c r="G157" s="7">
        <v>3.44559072554383</v>
      </c>
    </row>
    <row r="158" spans="1:7">
      <c r="A158" s="3">
        <v>154</v>
      </c>
      <c r="B158" s="3" t="s">
        <v>274</v>
      </c>
      <c r="C158" s="5">
        <v>39614.33</v>
      </c>
      <c r="D158" s="5">
        <v>3364.35</v>
      </c>
      <c r="E158" s="6">
        <v>0.00204621823966224</v>
      </c>
      <c r="F158" s="6">
        <v>0.000203228791466833</v>
      </c>
      <c r="G158" s="8">
        <v>-0.915072399306009</v>
      </c>
    </row>
    <row r="159" spans="1:7">
      <c r="A159" s="3">
        <v>155</v>
      </c>
      <c r="B159" s="3" t="s">
        <v>275</v>
      </c>
      <c r="C159" s="5">
        <v>0</v>
      </c>
      <c r="D159" s="5">
        <v>3324.58</v>
      </c>
      <c r="E159" s="6">
        <v>0</v>
      </c>
      <c r="F159" s="6">
        <v>0.000200826422796321</v>
      </c>
      <c r="G159" s="3"/>
    </row>
    <row r="160" spans="1:7">
      <c r="A160" s="3">
        <v>156</v>
      </c>
      <c r="B160" s="3" t="s">
        <v>276</v>
      </c>
      <c r="C160" s="5">
        <v>19070.17</v>
      </c>
      <c r="D160" s="5">
        <v>3312.97</v>
      </c>
      <c r="E160" s="6">
        <v>0.000985040758923843</v>
      </c>
      <c r="F160" s="6">
        <v>0.000200125102699146</v>
      </c>
      <c r="G160" s="8">
        <v>-0.826274752663453</v>
      </c>
    </row>
    <row r="161" spans="1:7">
      <c r="A161" s="3">
        <v>157</v>
      </c>
      <c r="B161" s="3" t="s">
        <v>277</v>
      </c>
      <c r="C161" s="5">
        <v>0</v>
      </c>
      <c r="D161" s="5">
        <v>3252.83</v>
      </c>
      <c r="E161" s="6">
        <v>0</v>
      </c>
      <c r="F161" s="6">
        <v>0.00019649225251447</v>
      </c>
      <c r="G161" s="3"/>
    </row>
    <row r="162" spans="1:7">
      <c r="A162" s="3">
        <v>158</v>
      </c>
      <c r="B162" s="3" t="s">
        <v>278</v>
      </c>
      <c r="C162" s="5">
        <v>4128.53</v>
      </c>
      <c r="D162" s="5">
        <v>3183.16</v>
      </c>
      <c r="E162" s="6">
        <v>0.000213252966514711</v>
      </c>
      <c r="F162" s="6">
        <v>0.000192283727865877</v>
      </c>
      <c r="G162" s="8">
        <v>-0.228984650711028</v>
      </c>
    </row>
    <row r="163" spans="1:7">
      <c r="A163" s="3">
        <v>159</v>
      </c>
      <c r="B163" s="3" t="s">
        <v>279</v>
      </c>
      <c r="C163" s="5">
        <v>6829.26</v>
      </c>
      <c r="D163" s="5">
        <v>3115.5</v>
      </c>
      <c r="E163" s="6">
        <v>0.000352755085732757</v>
      </c>
      <c r="F163" s="6">
        <v>0.00018819662039173</v>
      </c>
      <c r="G163" s="8">
        <v>-0.543801231758639</v>
      </c>
    </row>
    <row r="164" spans="1:7">
      <c r="A164" s="3">
        <v>160</v>
      </c>
      <c r="B164" s="3" t="s">
        <v>280</v>
      </c>
      <c r="C164" s="5">
        <v>1272</v>
      </c>
      <c r="D164" s="5">
        <v>3072</v>
      </c>
      <c r="E164" s="6">
        <v>6.57032341794084e-5</v>
      </c>
      <c r="F164" s="6">
        <v>0.000185568935273117</v>
      </c>
      <c r="G164" s="7">
        <v>1.41509433962264</v>
      </c>
    </row>
    <row r="165" spans="1:7">
      <c r="A165" s="3">
        <v>161</v>
      </c>
      <c r="B165" s="3" t="s">
        <v>281</v>
      </c>
      <c r="C165" s="5">
        <v>2653.18</v>
      </c>
      <c r="D165" s="5">
        <v>3069.3</v>
      </c>
      <c r="E165" s="6">
        <v>0.000137045995959216</v>
      </c>
      <c r="F165" s="6">
        <v>0.000185405837576099</v>
      </c>
      <c r="G165" s="7">
        <v>0.156838209243248</v>
      </c>
    </row>
    <row r="166" spans="1:7">
      <c r="A166" s="3">
        <v>162</v>
      </c>
      <c r="B166" s="3" t="s">
        <v>282</v>
      </c>
      <c r="C166" s="5">
        <v>1869.08</v>
      </c>
      <c r="D166" s="5">
        <v>3039.34</v>
      </c>
      <c r="E166" s="6">
        <v>9.65444975943778e-5</v>
      </c>
      <c r="F166" s="6">
        <v>0.000183596057204751</v>
      </c>
      <c r="G166" s="7">
        <v>0.626115522075031</v>
      </c>
    </row>
    <row r="167" spans="1:7">
      <c r="A167" s="3">
        <v>163</v>
      </c>
      <c r="B167" s="3" t="s">
        <v>283</v>
      </c>
      <c r="C167" s="5">
        <v>7934.3</v>
      </c>
      <c r="D167" s="5">
        <v>2965</v>
      </c>
      <c r="E167" s="6">
        <v>0.000409834253891258</v>
      </c>
      <c r="F167" s="6">
        <v>0.000179105433946872</v>
      </c>
      <c r="G167" s="8">
        <v>-0.626306038339866</v>
      </c>
    </row>
    <row r="168" spans="1:7">
      <c r="A168" s="3">
        <v>164</v>
      </c>
      <c r="B168" s="3" t="s">
        <v>284</v>
      </c>
      <c r="C168" s="5">
        <v>4132</v>
      </c>
      <c r="D168" s="5">
        <v>2891.57</v>
      </c>
      <c r="E168" s="6">
        <v>0.000213432204111097</v>
      </c>
      <c r="F168" s="6">
        <v>0.000174669780653544</v>
      </c>
      <c r="G168" s="8">
        <v>-0.30020087124879</v>
      </c>
    </row>
    <row r="169" spans="1:7">
      <c r="A169" s="3">
        <v>165</v>
      </c>
      <c r="B169" s="3" t="s">
        <v>285</v>
      </c>
      <c r="C169" s="5">
        <v>380.66</v>
      </c>
      <c r="D169" s="5">
        <v>2863.6</v>
      </c>
      <c r="E169" s="6">
        <v>1.96624159769918e-5</v>
      </c>
      <c r="F169" s="6">
        <v>0.000172980209325553</v>
      </c>
      <c r="G169" s="7">
        <v>6.52272369043241</v>
      </c>
    </row>
    <row r="170" spans="1:7">
      <c r="A170" s="3">
        <v>166</v>
      </c>
      <c r="B170" s="3" t="s">
        <v>286</v>
      </c>
      <c r="C170" s="5">
        <v>2131.08</v>
      </c>
      <c r="D170" s="5">
        <v>2838.94</v>
      </c>
      <c r="E170" s="6">
        <v>0.000110077710923784</v>
      </c>
      <c r="F170" s="6">
        <v>0.000171490583692794</v>
      </c>
      <c r="G170" s="7">
        <v>0.332160219231563</v>
      </c>
    </row>
    <row r="171" spans="1:7">
      <c r="A171" s="3">
        <v>167</v>
      </c>
      <c r="B171" s="3" t="s">
        <v>287</v>
      </c>
      <c r="C171" s="5">
        <v>3877.44</v>
      </c>
      <c r="D171" s="5">
        <v>2835</v>
      </c>
      <c r="E171" s="6">
        <v>0.000200283292717457</v>
      </c>
      <c r="F171" s="6">
        <v>0.000171252581868257</v>
      </c>
      <c r="G171" s="8">
        <v>-0.268847487001733</v>
      </c>
    </row>
    <row r="172" spans="1:7">
      <c r="A172" s="3">
        <v>168</v>
      </c>
      <c r="B172" s="3" t="s">
        <v>288</v>
      </c>
      <c r="C172" s="5">
        <v>2469.36</v>
      </c>
      <c r="D172" s="5">
        <v>2780.93</v>
      </c>
      <c r="E172" s="6">
        <v>0.000127551052164516</v>
      </c>
      <c r="F172" s="6">
        <v>0.000167986399469098</v>
      </c>
      <c r="G172" s="7">
        <v>0.126174393365082</v>
      </c>
    </row>
    <row r="173" spans="1:7">
      <c r="A173" s="3">
        <v>169</v>
      </c>
      <c r="B173" s="3" t="s">
        <v>289</v>
      </c>
      <c r="C173" s="5">
        <v>4089.04</v>
      </c>
      <c r="D173" s="5">
        <v>2779.69</v>
      </c>
      <c r="E173" s="6">
        <v>0.000211213170352962</v>
      </c>
      <c r="F173" s="6">
        <v>0.000167911495341579</v>
      </c>
      <c r="G173" s="8">
        <v>-0.320209633557021</v>
      </c>
    </row>
    <row r="174" spans="1:7">
      <c r="A174" s="3">
        <v>170</v>
      </c>
      <c r="B174" s="3" t="s">
        <v>290</v>
      </c>
      <c r="C174" s="5">
        <v>611.92</v>
      </c>
      <c r="D174" s="5">
        <v>2751.28</v>
      </c>
      <c r="E174" s="6">
        <v>3.16078011470626e-5</v>
      </c>
      <c r="F174" s="6">
        <v>0.000166195345129629</v>
      </c>
      <c r="G174" s="7">
        <v>3.49614328670414</v>
      </c>
    </row>
    <row r="175" spans="1:7">
      <c r="A175" s="3">
        <v>171</v>
      </c>
      <c r="B175" s="3" t="s">
        <v>291</v>
      </c>
      <c r="C175" s="5">
        <v>417</v>
      </c>
      <c r="D175" s="5">
        <v>2725.5</v>
      </c>
      <c r="E175" s="6">
        <v>2.15395036578721e-5</v>
      </c>
      <c r="F175" s="6">
        <v>0.000164638064155885</v>
      </c>
      <c r="G175" s="7">
        <v>5.53597122302158</v>
      </c>
    </row>
    <row r="176" spans="1:7">
      <c r="A176" s="3">
        <v>172</v>
      </c>
      <c r="B176" s="3" t="s">
        <v>292</v>
      </c>
      <c r="C176" s="5">
        <v>2308.23</v>
      </c>
      <c r="D176" s="5">
        <v>2717.93</v>
      </c>
      <c r="E176" s="6">
        <v>0.000119228125966931</v>
      </c>
      <c r="F176" s="6">
        <v>0.000164180786538692</v>
      </c>
      <c r="G176" s="7">
        <v>0.177495310259376</v>
      </c>
    </row>
    <row r="177" spans="1:7">
      <c r="A177" s="3">
        <v>173</v>
      </c>
      <c r="B177" s="3" t="s">
        <v>293</v>
      </c>
      <c r="C177" s="5">
        <v>10467.29</v>
      </c>
      <c r="D177" s="5">
        <v>2717.64</v>
      </c>
      <c r="E177" s="6">
        <v>0.000540672017369323</v>
      </c>
      <c r="F177" s="6">
        <v>0.000164163268637901</v>
      </c>
      <c r="G177" s="8">
        <v>-0.740368328382991</v>
      </c>
    </row>
    <row r="178" spans="1:7">
      <c r="A178" s="3">
        <v>174</v>
      </c>
      <c r="B178" s="3" t="s">
        <v>294</v>
      </c>
      <c r="C178" s="5">
        <v>15768.98</v>
      </c>
      <c r="D178" s="5">
        <v>2687.08</v>
      </c>
      <c r="E178" s="6">
        <v>0.000814522787508182</v>
      </c>
      <c r="F178" s="6">
        <v>0.000162317244333882</v>
      </c>
      <c r="G178" s="8">
        <v>-0.829597095056243</v>
      </c>
    </row>
    <row r="179" spans="1:7">
      <c r="A179" s="3">
        <v>175</v>
      </c>
      <c r="B179" s="3" t="s">
        <v>295</v>
      </c>
      <c r="C179" s="5">
        <v>5629.06</v>
      </c>
      <c r="D179" s="5">
        <v>2602.56</v>
      </c>
      <c r="E179" s="6">
        <v>0.000290760571847438</v>
      </c>
      <c r="F179" s="6">
        <v>0.000157211682351694</v>
      </c>
      <c r="G179" s="8">
        <v>-0.537656376020152</v>
      </c>
    </row>
    <row r="180" spans="1:7">
      <c r="A180" s="3">
        <v>176</v>
      </c>
      <c r="B180" s="3" t="s">
        <v>296</v>
      </c>
      <c r="C180" s="5">
        <v>16275.85</v>
      </c>
      <c r="D180" s="5">
        <v>2580.43</v>
      </c>
      <c r="E180" s="6">
        <v>0.000840704389951984</v>
      </c>
      <c r="F180" s="6">
        <v>0.000155874885301696</v>
      </c>
      <c r="G180" s="8">
        <v>-0.841456513791906</v>
      </c>
    </row>
    <row r="181" spans="1:7">
      <c r="A181" s="3">
        <v>177</v>
      </c>
      <c r="B181" s="3" t="s">
        <v>297</v>
      </c>
      <c r="C181" s="5">
        <v>0</v>
      </c>
      <c r="D181" s="5">
        <v>2564.62</v>
      </c>
      <c r="E181" s="6">
        <v>0</v>
      </c>
      <c r="F181" s="6">
        <v>0.000154919857675827</v>
      </c>
      <c r="G181" s="3"/>
    </row>
    <row r="182" spans="1:7">
      <c r="A182" s="3">
        <v>178</v>
      </c>
      <c r="B182" s="3" t="s">
        <v>298</v>
      </c>
      <c r="C182" s="5">
        <v>1816.23</v>
      </c>
      <c r="D182" s="5">
        <v>2543.81</v>
      </c>
      <c r="E182" s="6">
        <v>9.3814610859801e-5</v>
      </c>
      <c r="F182" s="6">
        <v>0.000153662797277704</v>
      </c>
      <c r="G182" s="7">
        <v>0.400599043072738</v>
      </c>
    </row>
    <row r="183" spans="1:7">
      <c r="A183" s="3">
        <v>179</v>
      </c>
      <c r="B183" s="3" t="s">
        <v>299</v>
      </c>
      <c r="C183" s="5">
        <v>24047.39</v>
      </c>
      <c r="D183" s="5">
        <v>2543.75</v>
      </c>
      <c r="E183" s="6">
        <v>0.00124213152246349</v>
      </c>
      <c r="F183" s="6">
        <v>0.000153659172884437</v>
      </c>
      <c r="G183" s="8">
        <v>-0.894219289494619</v>
      </c>
    </row>
    <row r="184" spans="1:7">
      <c r="A184" s="3">
        <v>180</v>
      </c>
      <c r="B184" s="3" t="s">
        <v>300</v>
      </c>
      <c r="C184" s="5">
        <v>1808.93</v>
      </c>
      <c r="D184" s="5">
        <v>2518.25</v>
      </c>
      <c r="E184" s="6">
        <v>9.34375404120733e-5</v>
      </c>
      <c r="F184" s="6">
        <v>0.00015211880574594</v>
      </c>
      <c r="G184" s="7">
        <v>0.392121309282283</v>
      </c>
    </row>
    <row r="185" spans="1:7">
      <c r="A185" s="3">
        <v>181</v>
      </c>
      <c r="B185" s="3" t="s">
        <v>301</v>
      </c>
      <c r="C185" s="5">
        <v>490.82</v>
      </c>
      <c r="D185" s="5">
        <v>2421.05</v>
      </c>
      <c r="E185" s="6">
        <v>2.53525639936613e-5</v>
      </c>
      <c r="F185" s="6">
        <v>0.000146247288653314</v>
      </c>
      <c r="G185" s="7">
        <v>3.93266370563547</v>
      </c>
    </row>
    <row r="186" spans="1:7">
      <c r="A186" s="3">
        <v>182</v>
      </c>
      <c r="B186" s="3" t="s">
        <v>302</v>
      </c>
      <c r="C186" s="5">
        <v>9634.5</v>
      </c>
      <c r="D186" s="5">
        <v>2382.9</v>
      </c>
      <c r="E186" s="6">
        <v>0.000497655510771627</v>
      </c>
      <c r="F186" s="6">
        <v>0.000143942778601013</v>
      </c>
      <c r="G186" s="8">
        <v>-0.752670091857388</v>
      </c>
    </row>
    <row r="187" spans="1:7">
      <c r="A187" s="3">
        <v>183</v>
      </c>
      <c r="B187" s="3" t="s">
        <v>303</v>
      </c>
      <c r="C187" s="5">
        <v>2245.38</v>
      </c>
      <c r="D187" s="5">
        <v>2329.65</v>
      </c>
      <c r="E187" s="6">
        <v>0.000115981704372453</v>
      </c>
      <c r="F187" s="6">
        <v>0.000140726129576503</v>
      </c>
      <c r="G187" s="7">
        <v>0.0375303957459316</v>
      </c>
    </row>
    <row r="188" spans="1:7">
      <c r="A188" s="3">
        <v>184</v>
      </c>
      <c r="B188" s="3" t="s">
        <v>304</v>
      </c>
      <c r="C188" s="5">
        <v>2752.54</v>
      </c>
      <c r="D188" s="5">
        <v>2316.75</v>
      </c>
      <c r="E188" s="6">
        <v>0.000142178286327192</v>
      </c>
      <c r="F188" s="6">
        <v>0.000139946885024086</v>
      </c>
      <c r="G188" s="8">
        <v>-0.1583228581601</v>
      </c>
    </row>
    <row r="189" spans="1:7">
      <c r="A189" s="3">
        <v>185</v>
      </c>
      <c r="B189" s="3" t="s">
        <v>305</v>
      </c>
      <c r="C189" s="5">
        <v>6485.12</v>
      </c>
      <c r="D189" s="5">
        <v>2308.84</v>
      </c>
      <c r="E189" s="6">
        <v>0.000334979055064123</v>
      </c>
      <c r="F189" s="6">
        <v>0.00013946906917838</v>
      </c>
      <c r="G189" s="8">
        <v>-0.643978831540511</v>
      </c>
    </row>
    <row r="190" spans="1:7">
      <c r="A190" s="3">
        <v>186</v>
      </c>
      <c r="B190" s="3" t="s">
        <v>306</v>
      </c>
      <c r="C190" s="5">
        <v>2148.16</v>
      </c>
      <c r="D190" s="5">
        <v>2308.71</v>
      </c>
      <c r="E190" s="6">
        <v>0.000110959952464495</v>
      </c>
      <c r="F190" s="6">
        <v>0.000139461216326301</v>
      </c>
      <c r="G190" s="7">
        <v>0.0747383807537614</v>
      </c>
    </row>
    <row r="191" spans="1:7">
      <c r="A191" s="3">
        <v>187</v>
      </c>
      <c r="B191" s="3" t="s">
        <v>307</v>
      </c>
      <c r="C191" s="5">
        <v>7109.04</v>
      </c>
      <c r="D191" s="5">
        <v>2222.61</v>
      </c>
      <c r="E191" s="6">
        <v>0.000367206698043067</v>
      </c>
      <c r="F191" s="6">
        <v>0.00013426021198808</v>
      </c>
      <c r="G191" s="8">
        <v>-0.687354410722123</v>
      </c>
    </row>
    <row r="192" spans="1:7">
      <c r="A192" s="3">
        <v>188</v>
      </c>
      <c r="B192" s="3" t="s">
        <v>308</v>
      </c>
      <c r="C192" s="5">
        <v>41702.45</v>
      </c>
      <c r="D192" s="5">
        <v>2188.39</v>
      </c>
      <c r="E192" s="6">
        <v>0.00215407691682788</v>
      </c>
      <c r="F192" s="6">
        <v>0.000132193099694771</v>
      </c>
      <c r="G192" s="8">
        <v>-0.947523706640737</v>
      </c>
    </row>
    <row r="193" spans="1:7">
      <c r="A193" s="3">
        <v>189</v>
      </c>
      <c r="B193" s="3" t="s">
        <v>309</v>
      </c>
      <c r="C193" s="5">
        <v>4570.73</v>
      </c>
      <c r="D193" s="5">
        <v>2159.1</v>
      </c>
      <c r="E193" s="6">
        <v>0.000236094138019534</v>
      </c>
      <c r="F193" s="6">
        <v>0.000130423791714904</v>
      </c>
      <c r="G193" s="8">
        <v>-0.527624690147963</v>
      </c>
    </row>
    <row r="194" spans="1:7">
      <c r="A194" s="3">
        <v>190</v>
      </c>
      <c r="B194" s="3" t="s">
        <v>310</v>
      </c>
      <c r="C194" s="5">
        <v>0</v>
      </c>
      <c r="D194" s="5">
        <v>2148.5</v>
      </c>
      <c r="E194" s="6">
        <v>0</v>
      </c>
      <c r="F194" s="6">
        <v>0.000129783482237725</v>
      </c>
      <c r="G194" s="3"/>
    </row>
    <row r="195" spans="1:7">
      <c r="A195" s="3">
        <v>191</v>
      </c>
      <c r="B195" s="3" t="s">
        <v>311</v>
      </c>
      <c r="C195" s="5">
        <v>1458.54</v>
      </c>
      <c r="D195" s="5">
        <v>2046.36</v>
      </c>
      <c r="E195" s="6">
        <v>7.53386754560018e-5</v>
      </c>
      <c r="F195" s="6">
        <v>0.000123613556766112</v>
      </c>
      <c r="G195" s="7">
        <v>0.403019457813979</v>
      </c>
    </row>
    <row r="196" spans="1:7">
      <c r="A196" s="3">
        <v>192</v>
      </c>
      <c r="B196" s="3" t="s">
        <v>312</v>
      </c>
      <c r="C196" s="5">
        <v>9657.25</v>
      </c>
      <c r="D196" s="5">
        <v>2015.75</v>
      </c>
      <c r="E196" s="6">
        <v>0.000498830627577902</v>
      </c>
      <c r="F196" s="6">
        <v>0.00012176451213437</v>
      </c>
      <c r="G196" s="8">
        <v>-0.791270806906728</v>
      </c>
    </row>
    <row r="197" spans="1:7">
      <c r="A197" s="3">
        <v>193</v>
      </c>
      <c r="B197" s="3" t="s">
        <v>313</v>
      </c>
      <c r="C197" s="5">
        <v>1126.3</v>
      </c>
      <c r="D197" s="5">
        <v>2001.13</v>
      </c>
      <c r="E197" s="6">
        <v>5.81773212706507e-5</v>
      </c>
      <c r="F197" s="6">
        <v>0.000120881368308298</v>
      </c>
      <c r="G197" s="7">
        <v>0.776729113024949</v>
      </c>
    </row>
    <row r="198" spans="1:7">
      <c r="A198" s="3">
        <v>194</v>
      </c>
      <c r="B198" s="3" t="s">
        <v>314</v>
      </c>
      <c r="C198" s="5">
        <v>566.46</v>
      </c>
      <c r="D198" s="5">
        <v>1921.62</v>
      </c>
      <c r="E198" s="6">
        <v>2.92596336739526e-5</v>
      </c>
      <c r="F198" s="6">
        <v>0.000116078443163909</v>
      </c>
      <c r="G198" s="7">
        <v>2.39233132083466</v>
      </c>
    </row>
    <row r="199" spans="1:7">
      <c r="A199" s="3">
        <v>195</v>
      </c>
      <c r="B199" s="3" t="s">
        <v>315</v>
      </c>
      <c r="C199" s="5">
        <v>2520</v>
      </c>
      <c r="D199" s="5">
        <v>1903.62</v>
      </c>
      <c r="E199" s="6">
        <v>0.000130166784695054</v>
      </c>
      <c r="F199" s="6">
        <v>0.000114991125183793</v>
      </c>
      <c r="G199" s="8">
        <v>-0.244595238095238</v>
      </c>
    </row>
    <row r="200" spans="1:7">
      <c r="A200" s="3">
        <v>196</v>
      </c>
      <c r="B200" s="3" t="s">
        <v>316</v>
      </c>
      <c r="C200" s="5">
        <v>1679.32</v>
      </c>
      <c r="D200" s="5">
        <v>1874.67</v>
      </c>
      <c r="E200" s="6">
        <v>8.67427320928963e-5</v>
      </c>
      <c r="F200" s="6">
        <v>0.00011324235543244</v>
      </c>
      <c r="G200" s="7">
        <v>0.116326846580759</v>
      </c>
    </row>
    <row r="201" spans="1:7">
      <c r="A201" s="3">
        <v>197</v>
      </c>
      <c r="B201" s="3" t="s">
        <v>317</v>
      </c>
      <c r="C201" s="5">
        <v>0</v>
      </c>
      <c r="D201" s="5">
        <v>1865.51</v>
      </c>
      <c r="E201" s="6">
        <v>0</v>
      </c>
      <c r="F201" s="6">
        <v>0.000112689031393669</v>
      </c>
      <c r="G201" s="3"/>
    </row>
    <row r="202" spans="1:7">
      <c r="A202" s="3">
        <v>198</v>
      </c>
      <c r="B202" s="3" t="s">
        <v>318</v>
      </c>
      <c r="C202" s="5">
        <v>2994</v>
      </c>
      <c r="D202" s="5">
        <v>1846</v>
      </c>
      <c r="E202" s="6">
        <v>0.000154650537054362</v>
      </c>
      <c r="F202" s="6">
        <v>0.000111510499516333</v>
      </c>
      <c r="G202" s="8">
        <v>-0.383433533734135</v>
      </c>
    </row>
    <row r="203" spans="1:7">
      <c r="A203" s="3">
        <v>199</v>
      </c>
      <c r="B203" s="3" t="s">
        <v>319</v>
      </c>
      <c r="C203" s="5">
        <v>4988.39</v>
      </c>
      <c r="D203" s="5">
        <v>1839.57</v>
      </c>
      <c r="E203" s="6">
        <v>0.00025766773297816</v>
      </c>
      <c r="F203" s="6">
        <v>0.000111122085371213</v>
      </c>
      <c r="G203" s="8">
        <v>-0.631229715399157</v>
      </c>
    </row>
    <row r="204" spans="1:7">
      <c r="A204" s="3">
        <v>200</v>
      </c>
      <c r="B204" s="3" t="s">
        <v>320</v>
      </c>
      <c r="C204" s="5">
        <v>14848.34</v>
      </c>
      <c r="D204" s="5">
        <v>1836.33</v>
      </c>
      <c r="E204" s="6">
        <v>0.000766968522166255</v>
      </c>
      <c r="F204" s="6">
        <v>0.000110926368134793</v>
      </c>
      <c r="G204" s="8">
        <v>-0.876327589481383</v>
      </c>
    </row>
    <row r="205" spans="1:7">
      <c r="A205" s="3">
        <v>201</v>
      </c>
      <c r="B205" s="3" t="s">
        <v>321</v>
      </c>
      <c r="C205" s="5">
        <v>1906.78</v>
      </c>
      <c r="D205" s="5">
        <v>1828.68</v>
      </c>
      <c r="E205" s="6">
        <v>9.84918340162047e-5</v>
      </c>
      <c r="F205" s="6">
        <v>0.000110464257993243</v>
      </c>
      <c r="G205" s="8">
        <v>-0.0409591038294926</v>
      </c>
    </row>
    <row r="206" spans="1:7">
      <c r="A206" s="3">
        <v>202</v>
      </c>
      <c r="B206" s="3" t="s">
        <v>322</v>
      </c>
      <c r="C206" s="5">
        <v>33750.45</v>
      </c>
      <c r="D206" s="5">
        <v>1813.86</v>
      </c>
      <c r="E206" s="6">
        <v>0.0017433283962346</v>
      </c>
      <c r="F206" s="6">
        <v>0.000109569032856281</v>
      </c>
      <c r="G206" s="8">
        <v>-0.946256716577112</v>
      </c>
    </row>
    <row r="207" spans="1:7">
      <c r="A207" s="3">
        <v>203</v>
      </c>
      <c r="B207" s="3" t="s">
        <v>323</v>
      </c>
      <c r="C207" s="5">
        <v>2137.01</v>
      </c>
      <c r="D207" s="5">
        <v>1810.55</v>
      </c>
      <c r="E207" s="6">
        <v>0.000110384016095706</v>
      </c>
      <c r="F207" s="6">
        <v>0.000109369087161049</v>
      </c>
      <c r="G207" s="8">
        <v>-0.152764844338585</v>
      </c>
    </row>
    <row r="208" spans="1:7">
      <c r="A208" s="3">
        <v>204</v>
      </c>
      <c r="B208" s="3" t="s">
        <v>324</v>
      </c>
      <c r="C208" s="5">
        <v>4201.49</v>
      </c>
      <c r="D208" s="5">
        <v>1802.41</v>
      </c>
      <c r="E208" s="6">
        <v>0.000217021604852549</v>
      </c>
      <c r="F208" s="6">
        <v>0.000108877377807819</v>
      </c>
      <c r="G208" s="8">
        <v>-0.571006952295495</v>
      </c>
    </row>
    <row r="209" spans="1:7">
      <c r="A209" s="3">
        <v>205</v>
      </c>
      <c r="B209" s="3" t="s">
        <v>325</v>
      </c>
      <c r="C209" s="5">
        <v>4085.8</v>
      </c>
      <c r="D209" s="5">
        <v>1791.22</v>
      </c>
      <c r="E209" s="6">
        <v>0.000211045813058354</v>
      </c>
      <c r="F209" s="6">
        <v>0.000108201428463513</v>
      </c>
      <c r="G209" s="8">
        <v>-0.561598707719418</v>
      </c>
    </row>
    <row r="210" spans="1:7">
      <c r="A210" s="3">
        <v>206</v>
      </c>
      <c r="B210" s="3" t="s">
        <v>326</v>
      </c>
      <c r="C210" s="5">
        <v>1052.71</v>
      </c>
      <c r="D210" s="5">
        <v>1785.54</v>
      </c>
      <c r="E210" s="6">
        <v>5.43761412366391e-5</v>
      </c>
      <c r="F210" s="6">
        <v>0.000107858319234232</v>
      </c>
      <c r="G210" s="7">
        <v>0.696136637820482</v>
      </c>
    </row>
    <row r="211" spans="1:7">
      <c r="A211" s="3">
        <v>207</v>
      </c>
      <c r="B211" s="3" t="s">
        <v>327</v>
      </c>
      <c r="C211" s="5">
        <v>1385.81</v>
      </c>
      <c r="D211" s="5">
        <v>1779.86</v>
      </c>
      <c r="E211" s="6">
        <v>7.15819174199418e-5</v>
      </c>
      <c r="F211" s="6">
        <v>0.000107515210004951</v>
      </c>
      <c r="G211" s="7">
        <v>0.284346338964216</v>
      </c>
    </row>
    <row r="212" spans="1:7">
      <c r="A212" s="3">
        <v>208</v>
      </c>
      <c r="B212" s="3" t="s">
        <v>328</v>
      </c>
      <c r="C212" s="5">
        <v>0</v>
      </c>
      <c r="D212" s="5">
        <v>1777.62</v>
      </c>
      <c r="E212" s="6">
        <v>0</v>
      </c>
      <c r="F212" s="6">
        <v>0.000107379899322981</v>
      </c>
      <c r="G212" s="3"/>
    </row>
    <row r="213" spans="1:7">
      <c r="A213" s="3">
        <v>209</v>
      </c>
      <c r="B213" s="3" t="s">
        <v>329</v>
      </c>
      <c r="C213" s="5">
        <v>479.96</v>
      </c>
      <c r="D213" s="5">
        <v>1772.09</v>
      </c>
      <c r="E213" s="6">
        <v>2.47916071358088e-5</v>
      </c>
      <c r="F213" s="6">
        <v>0.000107045851076868</v>
      </c>
      <c r="G213" s="7">
        <v>2.69216184682057</v>
      </c>
    </row>
    <row r="214" spans="1:7">
      <c r="A214" s="3">
        <v>210</v>
      </c>
      <c r="B214" s="3" t="s">
        <v>330</v>
      </c>
      <c r="C214" s="5">
        <v>0</v>
      </c>
      <c r="D214" s="5">
        <v>1763.72</v>
      </c>
      <c r="E214" s="6">
        <v>0</v>
      </c>
      <c r="F214" s="6">
        <v>0.000106540248216114</v>
      </c>
      <c r="G214" s="3"/>
    </row>
    <row r="215" spans="1:7">
      <c r="A215" s="3">
        <v>211</v>
      </c>
      <c r="B215" s="3" t="s">
        <v>331</v>
      </c>
      <c r="C215" s="5">
        <v>8021.18</v>
      </c>
      <c r="D215" s="5">
        <v>1763.19</v>
      </c>
      <c r="E215" s="6">
        <v>0.000414321908754078</v>
      </c>
      <c r="F215" s="6">
        <v>0.000106508232742255</v>
      </c>
      <c r="G215" s="8">
        <v>-0.78018321493845</v>
      </c>
    </row>
    <row r="216" spans="1:7">
      <c r="A216" s="3">
        <v>212</v>
      </c>
      <c r="B216" s="3" t="s">
        <v>332</v>
      </c>
      <c r="C216" s="5">
        <v>2649.92</v>
      </c>
      <c r="D216" s="5">
        <v>1748.95</v>
      </c>
      <c r="E216" s="6">
        <v>0.000136877605594888</v>
      </c>
      <c r="F216" s="6">
        <v>0.000105648043406874</v>
      </c>
      <c r="G216" s="8">
        <v>-0.339998943364328</v>
      </c>
    </row>
    <row r="217" spans="1:7">
      <c r="A217" s="3">
        <v>213</v>
      </c>
      <c r="B217" s="3" t="s">
        <v>333</v>
      </c>
      <c r="C217" s="5">
        <v>2527.3</v>
      </c>
      <c r="D217" s="5">
        <v>1739.07</v>
      </c>
      <c r="E217" s="6">
        <v>0.000130543855142782</v>
      </c>
      <c r="F217" s="6">
        <v>0.000105051226648899</v>
      </c>
      <c r="G217" s="8">
        <v>-0.311886202666878</v>
      </c>
    </row>
    <row r="218" spans="1:7">
      <c r="A218" s="3">
        <v>214</v>
      </c>
      <c r="B218" s="3" t="s">
        <v>334</v>
      </c>
      <c r="C218" s="5">
        <v>3251.48</v>
      </c>
      <c r="D218" s="5">
        <v>1737.46</v>
      </c>
      <c r="E218" s="6">
        <v>0.000167950276627093</v>
      </c>
      <c r="F218" s="6">
        <v>0.000104953972096234</v>
      </c>
      <c r="G218" s="8">
        <v>-0.465640262280561</v>
      </c>
    </row>
    <row r="219" spans="1:7">
      <c r="A219" s="3">
        <v>215</v>
      </c>
      <c r="B219" s="3" t="s">
        <v>335</v>
      </c>
      <c r="C219" s="5">
        <v>2221.88</v>
      </c>
      <c r="D219" s="5">
        <v>1691.56</v>
      </c>
      <c r="E219" s="6">
        <v>0.000114767847451685</v>
      </c>
      <c r="F219" s="6">
        <v>0.000102181311246938</v>
      </c>
      <c r="G219" s="8">
        <v>-0.238680756836553</v>
      </c>
    </row>
    <row r="220" spans="1:7">
      <c r="A220" s="3">
        <v>216</v>
      </c>
      <c r="B220" s="3" t="s">
        <v>336</v>
      </c>
      <c r="C220" s="5">
        <v>2746.93</v>
      </c>
      <c r="D220" s="5">
        <v>1670.55</v>
      </c>
      <c r="E220" s="6">
        <v>0.000141888510270788</v>
      </c>
      <c r="F220" s="6">
        <v>0.000100912169537925</v>
      </c>
      <c r="G220" s="8">
        <v>-0.391848354344668</v>
      </c>
    </row>
    <row r="221" spans="1:7">
      <c r="A221" s="3">
        <v>217</v>
      </c>
      <c r="B221" s="3" t="s">
        <v>337</v>
      </c>
      <c r="C221" s="5">
        <v>23115.31</v>
      </c>
      <c r="D221" s="5">
        <v>1669.39</v>
      </c>
      <c r="E221" s="6">
        <v>0.00119398634124184</v>
      </c>
      <c r="F221" s="6">
        <v>0.000100842097934762</v>
      </c>
      <c r="G221" s="8">
        <v>-0.927779899988363</v>
      </c>
    </row>
    <row r="222" spans="1:7">
      <c r="A222" s="3">
        <v>218</v>
      </c>
      <c r="B222" s="3" t="s">
        <v>338</v>
      </c>
      <c r="C222" s="5">
        <v>1416.43</v>
      </c>
      <c r="D222" s="5">
        <v>1642.3</v>
      </c>
      <c r="E222" s="6">
        <v>7.31635471609587e-5</v>
      </c>
      <c r="F222" s="6">
        <v>9.92056843746875e-5</v>
      </c>
      <c r="G222" s="7">
        <v>0.159464286975</v>
      </c>
    </row>
    <row r="223" spans="1:7">
      <c r="A223" s="3">
        <v>219</v>
      </c>
      <c r="B223" s="3" t="s">
        <v>339</v>
      </c>
      <c r="C223" s="5">
        <v>0</v>
      </c>
      <c r="D223" s="5">
        <v>1630.91</v>
      </c>
      <c r="E223" s="6">
        <v>0</v>
      </c>
      <c r="F223" s="6">
        <v>9.85176537194919e-5</v>
      </c>
      <c r="G223" s="3"/>
    </row>
    <row r="224" spans="1:7">
      <c r="A224" s="3">
        <v>220</v>
      </c>
      <c r="B224" s="3" t="s">
        <v>340</v>
      </c>
      <c r="C224" s="5">
        <v>398.62</v>
      </c>
      <c r="D224" s="5">
        <v>1624.22</v>
      </c>
      <c r="E224" s="6">
        <v>2.0590112585374e-5</v>
      </c>
      <c r="F224" s="6">
        <v>9.81135338702155e-5</v>
      </c>
      <c r="G224" s="7">
        <v>3.07460739551452</v>
      </c>
    </row>
    <row r="225" spans="1:7">
      <c r="A225" s="3">
        <v>221</v>
      </c>
      <c r="B225" s="3" t="s">
        <v>341</v>
      </c>
      <c r="C225" s="5">
        <v>307.65</v>
      </c>
      <c r="D225" s="5">
        <v>1577.4</v>
      </c>
      <c r="E225" s="6">
        <v>1.58911949648546e-5</v>
      </c>
      <c r="F225" s="6">
        <v>9.52852989908251e-5</v>
      </c>
      <c r="G225" s="7">
        <v>4.12725499756217</v>
      </c>
    </row>
    <row r="226" spans="1:7">
      <c r="A226" s="3">
        <v>222</v>
      </c>
      <c r="B226" s="3" t="s">
        <v>342</v>
      </c>
      <c r="C226" s="5">
        <v>3413.54</v>
      </c>
      <c r="D226" s="5">
        <v>1538.06</v>
      </c>
      <c r="E226" s="6">
        <v>0.000176321240566649</v>
      </c>
      <c r="F226" s="6">
        <v>9.29089051387273e-5</v>
      </c>
      <c r="G226" s="8">
        <v>-0.549423765357957</v>
      </c>
    </row>
    <row r="227" spans="1:7">
      <c r="A227" s="3">
        <v>223</v>
      </c>
      <c r="B227" s="3" t="s">
        <v>343</v>
      </c>
      <c r="C227" s="5">
        <v>893.13</v>
      </c>
      <c r="D227" s="5">
        <v>1534.44</v>
      </c>
      <c r="E227" s="6">
        <v>4.61332779423388e-5</v>
      </c>
      <c r="F227" s="6">
        <v>9.26902334116151e-5</v>
      </c>
      <c r="G227" s="7">
        <v>0.718047764603137</v>
      </c>
    </row>
    <row r="228" spans="1:7">
      <c r="A228" s="3">
        <v>224</v>
      </c>
      <c r="B228" s="3" t="s">
        <v>344</v>
      </c>
      <c r="C228" s="5">
        <v>1957.63</v>
      </c>
      <c r="D228" s="5">
        <v>1529.62</v>
      </c>
      <c r="E228" s="6">
        <v>0.000101118413778801</v>
      </c>
      <c r="F228" s="6">
        <v>9.23990738191618e-5</v>
      </c>
      <c r="G228" s="8">
        <v>-0.21863682105403</v>
      </c>
    </row>
    <row r="229" spans="1:7">
      <c r="A229" s="3">
        <v>225</v>
      </c>
      <c r="B229" s="3" t="s">
        <v>345</v>
      </c>
      <c r="C229" s="5">
        <v>177.47</v>
      </c>
      <c r="D229" s="5">
        <v>1485.12</v>
      </c>
      <c r="E229" s="6">
        <v>9.16694415866321e-6</v>
      </c>
      <c r="F229" s="6">
        <v>8.97109821460974e-5</v>
      </c>
      <c r="G229" s="7">
        <v>7.36828759790387</v>
      </c>
    </row>
    <row r="230" spans="1:7">
      <c r="A230" s="3">
        <v>226</v>
      </c>
      <c r="B230" s="3" t="s">
        <v>346</v>
      </c>
      <c r="C230" s="5">
        <v>1831.5</v>
      </c>
      <c r="D230" s="5">
        <v>1477.63</v>
      </c>
      <c r="E230" s="6">
        <v>9.46033595908699e-5</v>
      </c>
      <c r="F230" s="6">
        <v>8.92585370532603e-5</v>
      </c>
      <c r="G230" s="8">
        <v>-0.193213213213213</v>
      </c>
    </row>
    <row r="231" spans="1:7">
      <c r="A231" s="3">
        <v>227</v>
      </c>
      <c r="B231" s="3" t="s">
        <v>347</v>
      </c>
      <c r="C231" s="5">
        <v>5744</v>
      </c>
      <c r="D231" s="5">
        <v>1452.07</v>
      </c>
      <c r="E231" s="6">
        <v>0.00029669762352714</v>
      </c>
      <c r="F231" s="6">
        <v>8.77145455214957e-5</v>
      </c>
      <c r="G231" s="8">
        <v>-0.747202298050139</v>
      </c>
    </row>
    <row r="232" spans="1:7">
      <c r="A232" s="3">
        <v>228</v>
      </c>
      <c r="B232" s="3" t="s">
        <v>348</v>
      </c>
      <c r="C232" s="5">
        <v>116.93</v>
      </c>
      <c r="D232" s="5">
        <v>1434.81</v>
      </c>
      <c r="E232" s="6">
        <v>6.0398421168225e-6</v>
      </c>
      <c r="F232" s="6">
        <v>8.66719283916735e-5</v>
      </c>
      <c r="G232" s="7">
        <v>11.2706747626785</v>
      </c>
    </row>
    <row r="233" spans="1:7">
      <c r="A233" s="3">
        <v>229</v>
      </c>
      <c r="B233" s="3" t="s">
        <v>349</v>
      </c>
      <c r="C233" s="5">
        <v>2113.61</v>
      </c>
      <c r="D233" s="5">
        <v>1399.94</v>
      </c>
      <c r="E233" s="6">
        <v>0.000109175324523537</v>
      </c>
      <c r="F233" s="6">
        <v>8.45655518379711e-5</v>
      </c>
      <c r="G233" s="8">
        <v>-0.337654534185588</v>
      </c>
    </row>
    <row r="234" spans="1:7">
      <c r="A234" s="3">
        <v>230</v>
      </c>
      <c r="B234" s="3" t="s">
        <v>350</v>
      </c>
      <c r="C234" s="5">
        <v>0</v>
      </c>
      <c r="D234" s="5">
        <v>1376.16</v>
      </c>
      <c r="E234" s="6">
        <v>0</v>
      </c>
      <c r="F234" s="6">
        <v>8.31290839731291e-5</v>
      </c>
      <c r="G234" s="3"/>
    </row>
    <row r="235" spans="1:7">
      <c r="A235" s="3">
        <v>231</v>
      </c>
      <c r="B235" s="3" t="s">
        <v>351</v>
      </c>
      <c r="C235" s="5">
        <v>3887.15</v>
      </c>
      <c r="D235" s="5">
        <v>1370.04</v>
      </c>
      <c r="E235" s="6">
        <v>0.000200784848066421</v>
      </c>
      <c r="F235" s="6">
        <v>8.27593958598897e-5</v>
      </c>
      <c r="G235" s="8">
        <v>-0.647546402891579</v>
      </c>
    </row>
    <row r="236" spans="1:7">
      <c r="A236" s="3">
        <v>232</v>
      </c>
      <c r="B236" s="3" t="s">
        <v>352</v>
      </c>
      <c r="C236" s="5">
        <v>1031.48</v>
      </c>
      <c r="D236" s="5">
        <v>1354.13</v>
      </c>
      <c r="E236" s="6">
        <v>5.32795377290693e-5</v>
      </c>
      <c r="F236" s="6">
        <v>8.17983275785761e-5</v>
      </c>
      <c r="G236" s="7">
        <v>0.31280296273316</v>
      </c>
    </row>
    <row r="237" spans="1:7">
      <c r="A237" s="3">
        <v>233</v>
      </c>
      <c r="B237" s="3" t="s">
        <v>353</v>
      </c>
      <c r="C237" s="5">
        <v>717.52</v>
      </c>
      <c r="D237" s="5">
        <v>1316.88</v>
      </c>
      <c r="E237" s="6">
        <v>3.70624092676172e-5</v>
      </c>
      <c r="F237" s="6">
        <v>7.95481834252807e-5</v>
      </c>
      <c r="G237" s="7">
        <v>0.835321663507638</v>
      </c>
    </row>
    <row r="238" spans="1:7">
      <c r="A238" s="3">
        <v>234</v>
      </c>
      <c r="B238" s="3" t="s">
        <v>354</v>
      </c>
      <c r="C238" s="5">
        <v>2443.98</v>
      </c>
      <c r="D238" s="5">
        <v>1281.99</v>
      </c>
      <c r="E238" s="6">
        <v>0.000126240086690087</v>
      </c>
      <c r="F238" s="6">
        <v>7.74405987404893e-5</v>
      </c>
      <c r="G238" s="8">
        <v>-0.475449880931922</v>
      </c>
    </row>
    <row r="239" spans="1:7">
      <c r="A239" s="3">
        <v>235</v>
      </c>
      <c r="B239" s="3" t="s">
        <v>355</v>
      </c>
      <c r="C239" s="5">
        <v>526.25</v>
      </c>
      <c r="D239" s="5">
        <v>1279.96</v>
      </c>
      <c r="E239" s="6">
        <v>2.71826470022906e-5</v>
      </c>
      <c r="F239" s="6">
        <v>7.7317973434954e-5</v>
      </c>
      <c r="G239" s="7">
        <v>1.43222802850356</v>
      </c>
    </row>
    <row r="240" spans="1:7">
      <c r="A240" s="3">
        <v>236</v>
      </c>
      <c r="B240" s="3" t="s">
        <v>356</v>
      </c>
      <c r="C240" s="5">
        <v>0</v>
      </c>
      <c r="D240" s="5">
        <v>1271.96</v>
      </c>
      <c r="E240" s="6">
        <v>0</v>
      </c>
      <c r="F240" s="6">
        <v>7.68347209993469e-5</v>
      </c>
      <c r="G240" s="3"/>
    </row>
    <row r="241" spans="1:7">
      <c r="A241" s="3">
        <v>237</v>
      </c>
      <c r="B241" s="3" t="s">
        <v>357</v>
      </c>
      <c r="C241" s="5">
        <v>3569.1</v>
      </c>
      <c r="D241" s="5">
        <v>1268.15</v>
      </c>
      <c r="E241" s="6">
        <v>0.000184356456847269</v>
      </c>
      <c r="F241" s="6">
        <v>7.66045720268891e-5</v>
      </c>
      <c r="G241" s="8">
        <v>-0.64468633549074</v>
      </c>
    </row>
    <row r="242" spans="1:7">
      <c r="A242" s="3">
        <v>238</v>
      </c>
      <c r="B242" s="3" t="s">
        <v>358</v>
      </c>
      <c r="C242" s="5">
        <v>4170.94</v>
      </c>
      <c r="D242" s="5">
        <v>1252.73</v>
      </c>
      <c r="E242" s="6">
        <v>0.000215443590855552</v>
      </c>
      <c r="F242" s="6">
        <v>7.56731029572564e-5</v>
      </c>
      <c r="G242" s="8">
        <v>-0.699652836051346</v>
      </c>
    </row>
    <row r="243" spans="1:7">
      <c r="A243" s="3">
        <v>239</v>
      </c>
      <c r="B243" s="3" t="s">
        <v>359</v>
      </c>
      <c r="C243" s="5">
        <v>2143.57</v>
      </c>
      <c r="D243" s="5">
        <v>1187.88</v>
      </c>
      <c r="E243" s="6">
        <v>0.000110722862963801</v>
      </c>
      <c r="F243" s="6">
        <v>7.17557379011166e-5</v>
      </c>
      <c r="G243" s="8">
        <v>-0.445840350443419</v>
      </c>
    </row>
    <row r="244" spans="1:7">
      <c r="A244" s="3">
        <v>240</v>
      </c>
      <c r="B244" s="3" t="s">
        <v>360</v>
      </c>
      <c r="C244" s="5">
        <v>2553.67</v>
      </c>
      <c r="D244" s="5">
        <v>1174.69</v>
      </c>
      <c r="E244" s="6">
        <v>0.000131905957568341</v>
      </c>
      <c r="F244" s="6">
        <v>7.09589754479094e-5</v>
      </c>
      <c r="G244" s="8">
        <v>-0.539999295132104</v>
      </c>
    </row>
    <row r="245" spans="1:7">
      <c r="A245" s="3">
        <v>241</v>
      </c>
      <c r="B245" s="3" t="s">
        <v>361</v>
      </c>
      <c r="C245" s="5">
        <v>1453.4</v>
      </c>
      <c r="D245" s="5">
        <v>1163.71</v>
      </c>
      <c r="E245" s="6">
        <v>7.50731765380127e-5</v>
      </c>
      <c r="F245" s="6">
        <v>7.02957114800387e-5</v>
      </c>
      <c r="G245" s="8">
        <v>-0.199318838585386</v>
      </c>
    </row>
    <row r="246" spans="1:7">
      <c r="A246" s="3">
        <v>242</v>
      </c>
      <c r="B246" s="3" t="s">
        <v>362</v>
      </c>
      <c r="C246" s="5">
        <v>2353.99</v>
      </c>
      <c r="D246" s="5">
        <v>1163.16</v>
      </c>
      <c r="E246" s="6">
        <v>0.000121591789485838</v>
      </c>
      <c r="F246" s="6">
        <v>7.02624878750907e-5</v>
      </c>
      <c r="G246" s="8">
        <v>-0.505877255213488</v>
      </c>
    </row>
    <row r="247" spans="1:7">
      <c r="A247" s="3">
        <v>243</v>
      </c>
      <c r="B247" s="3" t="s">
        <v>363</v>
      </c>
      <c r="C247" s="5">
        <v>0</v>
      </c>
      <c r="D247" s="5">
        <v>1159.42</v>
      </c>
      <c r="E247" s="6">
        <v>0</v>
      </c>
      <c r="F247" s="6">
        <v>7.00365673614444e-5</v>
      </c>
      <c r="G247" s="3"/>
    </row>
    <row r="248" spans="1:7">
      <c r="A248" s="3">
        <v>244</v>
      </c>
      <c r="B248" s="3" t="s">
        <v>364</v>
      </c>
      <c r="C248" s="5">
        <v>705.3</v>
      </c>
      <c r="D248" s="5">
        <v>1151.5</v>
      </c>
      <c r="E248" s="6">
        <v>3.64312036688182e-5</v>
      </c>
      <c r="F248" s="6">
        <v>6.95581474501934e-5</v>
      </c>
      <c r="G248" s="7">
        <v>0.632638593506309</v>
      </c>
    </row>
    <row r="249" spans="1:7">
      <c r="A249" s="3">
        <v>245</v>
      </c>
      <c r="B249" s="3" t="s">
        <v>365</v>
      </c>
      <c r="C249" s="5">
        <v>8295.12</v>
      </c>
      <c r="D249" s="5">
        <v>1144.36</v>
      </c>
      <c r="E249" s="6">
        <v>0.000428471864706206</v>
      </c>
      <c r="F249" s="6">
        <v>6.91268446514141e-5</v>
      </c>
      <c r="G249" s="8">
        <v>-0.862044189836916</v>
      </c>
    </row>
    <row r="250" spans="1:7">
      <c r="A250" s="3">
        <v>246</v>
      </c>
      <c r="B250" s="3" t="s">
        <v>366</v>
      </c>
      <c r="C250" s="5">
        <v>283.66</v>
      </c>
      <c r="D250" s="5">
        <v>1131.46</v>
      </c>
      <c r="E250" s="6">
        <v>1.4652027835952e-5</v>
      </c>
      <c r="F250" s="6">
        <v>6.83476000989977e-5</v>
      </c>
      <c r="G250" s="7">
        <v>2.98878939575548</v>
      </c>
    </row>
    <row r="251" spans="1:7">
      <c r="A251" s="3">
        <v>247</v>
      </c>
      <c r="B251" s="3" t="s">
        <v>367</v>
      </c>
      <c r="C251" s="5">
        <v>806.98</v>
      </c>
      <c r="D251" s="5">
        <v>1126.77</v>
      </c>
      <c r="E251" s="6">
        <v>4.16833301242917e-5</v>
      </c>
      <c r="F251" s="6">
        <v>6.8064293358623e-5</v>
      </c>
      <c r="G251" s="7">
        <v>0.39627995737193</v>
      </c>
    </row>
    <row r="252" spans="1:7">
      <c r="A252" s="3">
        <v>248</v>
      </c>
      <c r="B252" s="3" t="s">
        <v>368</v>
      </c>
      <c r="C252" s="5">
        <v>7934.21</v>
      </c>
      <c r="D252" s="5">
        <v>1118.97</v>
      </c>
      <c r="E252" s="6">
        <v>0.000409829605077519</v>
      </c>
      <c r="F252" s="6">
        <v>6.75931222339061e-5</v>
      </c>
      <c r="G252" s="8">
        <v>-0.858968945868587</v>
      </c>
    </row>
    <row r="253" spans="1:7">
      <c r="A253" s="3">
        <v>249</v>
      </c>
      <c r="B253" s="3" t="s">
        <v>369</v>
      </c>
      <c r="C253" s="5">
        <v>0</v>
      </c>
      <c r="D253" s="5">
        <v>1117.44</v>
      </c>
      <c r="E253" s="6">
        <v>0</v>
      </c>
      <c r="F253" s="6">
        <v>6.75007002055963e-5</v>
      </c>
      <c r="G253" s="3"/>
    </row>
    <row r="254" spans="1:7">
      <c r="A254" s="3">
        <v>250</v>
      </c>
      <c r="B254" s="3" t="s">
        <v>370</v>
      </c>
      <c r="C254" s="5">
        <v>268.12</v>
      </c>
      <c r="D254" s="5">
        <v>1116.73</v>
      </c>
      <c r="E254" s="6">
        <v>1.38493326636659e-5</v>
      </c>
      <c r="F254" s="6">
        <v>6.74578115519361e-5</v>
      </c>
      <c r="G254" s="7">
        <v>3.16503804266746</v>
      </c>
    </row>
    <row r="255" spans="1:7">
      <c r="A255" s="3">
        <v>251</v>
      </c>
      <c r="B255" s="3" t="s">
        <v>371</v>
      </c>
      <c r="C255" s="5">
        <v>53.92</v>
      </c>
      <c r="D255" s="5">
        <v>1100.55</v>
      </c>
      <c r="E255" s="6">
        <v>2.78515596458624e-6</v>
      </c>
      <c r="F255" s="6">
        <v>6.64804335009208e-5</v>
      </c>
      <c r="G255" s="7">
        <v>19.410793768546</v>
      </c>
    </row>
    <row r="256" spans="1:7">
      <c r="A256" s="3">
        <v>252</v>
      </c>
      <c r="B256" s="3" t="s">
        <v>372</v>
      </c>
      <c r="C256" s="5">
        <v>0</v>
      </c>
      <c r="D256" s="5">
        <v>1092.17</v>
      </c>
      <c r="E256" s="6">
        <v>0</v>
      </c>
      <c r="F256" s="6">
        <v>6.59742265746224e-5</v>
      </c>
      <c r="G256" s="3"/>
    </row>
    <row r="257" spans="1:7">
      <c r="A257" s="3">
        <v>253</v>
      </c>
      <c r="B257" s="3" t="s">
        <v>373</v>
      </c>
      <c r="C257" s="5">
        <v>1053.15</v>
      </c>
      <c r="D257" s="5">
        <v>1067.6</v>
      </c>
      <c r="E257" s="6">
        <v>5.43988687704748e-5</v>
      </c>
      <c r="F257" s="6">
        <v>6.44900375317642e-5</v>
      </c>
      <c r="G257" s="7">
        <v>0.013720742534302</v>
      </c>
    </row>
    <row r="258" spans="1:7">
      <c r="A258" s="3">
        <v>254</v>
      </c>
      <c r="B258" s="3" t="s">
        <v>374</v>
      </c>
      <c r="C258" s="5">
        <v>323.91</v>
      </c>
      <c r="D258" s="5">
        <v>1063.02</v>
      </c>
      <c r="E258" s="6">
        <v>1.67310806470536e-5</v>
      </c>
      <c r="F258" s="6">
        <v>6.42133755123791e-5</v>
      </c>
      <c r="G258" s="7">
        <v>2.28183754746689</v>
      </c>
    </row>
    <row r="259" spans="1:7">
      <c r="A259" s="3">
        <v>255</v>
      </c>
      <c r="B259" s="3" t="s">
        <v>375</v>
      </c>
      <c r="C259" s="5">
        <v>507.92</v>
      </c>
      <c r="D259" s="5">
        <v>1050</v>
      </c>
      <c r="E259" s="6">
        <v>2.62358386040921e-5</v>
      </c>
      <c r="F259" s="6">
        <v>6.34268821734286e-5</v>
      </c>
      <c r="G259" s="7">
        <v>1.06725468577729</v>
      </c>
    </row>
    <row r="260" spans="1:7">
      <c r="A260" s="3">
        <v>256</v>
      </c>
      <c r="B260" s="3" t="s">
        <v>376</v>
      </c>
      <c r="C260" s="5">
        <v>1221.6</v>
      </c>
      <c r="D260" s="5">
        <v>1040.16</v>
      </c>
      <c r="E260" s="6">
        <v>6.30998984855073e-5</v>
      </c>
      <c r="F260" s="6">
        <v>6.28324816776319e-5</v>
      </c>
      <c r="G260" s="8">
        <v>-0.14852652259332</v>
      </c>
    </row>
    <row r="261" spans="1:7">
      <c r="A261" s="3">
        <v>257</v>
      </c>
      <c r="B261" s="3" t="s">
        <v>377</v>
      </c>
      <c r="C261" s="5">
        <v>5022.71</v>
      </c>
      <c r="D261" s="5">
        <v>1018.55</v>
      </c>
      <c r="E261" s="6">
        <v>0.00025944048061734</v>
      </c>
      <c r="F261" s="6">
        <v>6.15270960359483e-5</v>
      </c>
      <c r="G261" s="8">
        <v>-0.797211067332177</v>
      </c>
    </row>
    <row r="262" spans="1:7">
      <c r="A262" s="3">
        <v>258</v>
      </c>
      <c r="B262" s="3" t="s">
        <v>378</v>
      </c>
      <c r="C262" s="5">
        <v>24500.02</v>
      </c>
      <c r="D262" s="5">
        <v>990.06</v>
      </c>
      <c r="E262" s="6">
        <v>0.00126551143982719</v>
      </c>
      <c r="F262" s="6">
        <v>5.98061132996426e-5</v>
      </c>
      <c r="G262" s="8">
        <v>-0.95958942074333</v>
      </c>
    </row>
    <row r="263" spans="1:7">
      <c r="A263" s="3">
        <v>259</v>
      </c>
      <c r="B263" s="3" t="s">
        <v>379</v>
      </c>
      <c r="C263" s="5">
        <v>842.49</v>
      </c>
      <c r="D263" s="5">
        <v>989.89</v>
      </c>
      <c r="E263" s="6">
        <v>4.35175454118001e-5</v>
      </c>
      <c r="F263" s="6">
        <v>5.9795844185386e-5</v>
      </c>
      <c r="G263" s="7">
        <v>0.174957566261914</v>
      </c>
    </row>
    <row r="264" spans="1:7">
      <c r="A264" s="3">
        <v>260</v>
      </c>
      <c r="B264" s="3" t="s">
        <v>380</v>
      </c>
      <c r="C264" s="5">
        <v>19.17</v>
      </c>
      <c r="D264" s="5">
        <v>983.13</v>
      </c>
      <c r="E264" s="6">
        <v>9.90197326430235e-7</v>
      </c>
      <c r="F264" s="6">
        <v>5.9387495877298e-5</v>
      </c>
      <c r="G264" s="7">
        <v>50.2848200312989</v>
      </c>
    </row>
    <row r="265" spans="1:7">
      <c r="A265" s="3">
        <v>261</v>
      </c>
      <c r="B265" s="3" t="s">
        <v>381</v>
      </c>
      <c r="C265" s="5">
        <v>0</v>
      </c>
      <c r="D265" s="5">
        <v>961.04</v>
      </c>
      <c r="E265" s="6">
        <v>0</v>
      </c>
      <c r="F265" s="6">
        <v>5.80531150894779e-5</v>
      </c>
      <c r="G265" s="3"/>
    </row>
    <row r="266" spans="1:7">
      <c r="A266" s="3">
        <v>262</v>
      </c>
      <c r="B266" s="3" t="s">
        <v>382</v>
      </c>
      <c r="C266" s="5">
        <v>849.62</v>
      </c>
      <c r="D266" s="5">
        <v>942.64</v>
      </c>
      <c r="E266" s="6">
        <v>4.38858347669096e-5</v>
      </c>
      <c r="F266" s="6">
        <v>5.69416344875817e-5</v>
      </c>
      <c r="G266" s="7">
        <v>0.109484240013183</v>
      </c>
    </row>
    <row r="267" spans="1:7">
      <c r="A267" s="3">
        <v>263</v>
      </c>
      <c r="B267" s="3" t="s">
        <v>383</v>
      </c>
      <c r="C267" s="5">
        <v>532.6</v>
      </c>
      <c r="D267" s="5">
        <v>935.65</v>
      </c>
      <c r="E267" s="6">
        <v>2.75106466383278e-5</v>
      </c>
      <c r="F267" s="6">
        <v>5.651939267197e-5</v>
      </c>
      <c r="G267" s="7">
        <v>0.75675929402929</v>
      </c>
    </row>
    <row r="268" spans="1:7">
      <c r="A268" s="3">
        <v>264</v>
      </c>
      <c r="B268" s="3" t="s">
        <v>384</v>
      </c>
      <c r="C268" s="5">
        <v>484.2</v>
      </c>
      <c r="D268" s="5">
        <v>929.69</v>
      </c>
      <c r="E268" s="6">
        <v>2.50106179164069e-5</v>
      </c>
      <c r="F268" s="6">
        <v>5.61593696074427e-5</v>
      </c>
      <c r="G268" s="7">
        <v>0.920053696819496</v>
      </c>
    </row>
    <row r="269" spans="1:7">
      <c r="A269" s="3">
        <v>265</v>
      </c>
      <c r="B269" s="3" t="s">
        <v>385</v>
      </c>
      <c r="C269" s="5">
        <v>287.47</v>
      </c>
      <c r="D269" s="5">
        <v>922.5</v>
      </c>
      <c r="E269" s="6">
        <v>1.48488276175743e-5</v>
      </c>
      <c r="F269" s="6">
        <v>5.57250464809409e-5</v>
      </c>
      <c r="G269" s="7">
        <v>2.20903050753122</v>
      </c>
    </row>
    <row r="270" spans="1:7">
      <c r="A270" s="3">
        <v>266</v>
      </c>
      <c r="B270" s="3" t="s">
        <v>386</v>
      </c>
      <c r="C270" s="5">
        <v>3988.19</v>
      </c>
      <c r="D270" s="5">
        <v>916.46</v>
      </c>
      <c r="E270" s="6">
        <v>0.000206003916290861</v>
      </c>
      <c r="F270" s="6">
        <v>5.53601908920575e-5</v>
      </c>
      <c r="G270" s="8">
        <v>-0.770206534793979</v>
      </c>
    </row>
    <row r="271" spans="1:7">
      <c r="A271" s="3">
        <v>267</v>
      </c>
      <c r="B271" s="3" t="s">
        <v>387</v>
      </c>
      <c r="C271" s="5">
        <v>2283.83</v>
      </c>
      <c r="D271" s="5">
        <v>916.390000000001</v>
      </c>
      <c r="E271" s="6">
        <v>0.000117967780908772</v>
      </c>
      <c r="F271" s="6">
        <v>5.5355962433246e-5</v>
      </c>
      <c r="G271" s="8">
        <v>-0.598748593371661</v>
      </c>
    </row>
    <row r="272" spans="1:7">
      <c r="A272" s="3">
        <v>268</v>
      </c>
      <c r="B272" s="3" t="s">
        <v>388</v>
      </c>
      <c r="C272" s="5">
        <v>205.34</v>
      </c>
      <c r="D272" s="5">
        <v>912.66</v>
      </c>
      <c r="E272" s="6">
        <v>1.06065268132073e-5</v>
      </c>
      <c r="F272" s="6">
        <v>5.51306459851442e-5</v>
      </c>
      <c r="G272" s="7">
        <v>3.44462842115516</v>
      </c>
    </row>
    <row r="273" spans="1:7">
      <c r="A273" s="3">
        <v>269</v>
      </c>
      <c r="B273" s="3" t="s">
        <v>389</v>
      </c>
      <c r="C273" s="5">
        <v>1013.03</v>
      </c>
      <c r="D273" s="5">
        <v>907.92</v>
      </c>
      <c r="E273" s="6">
        <v>5.2326530912552e-5</v>
      </c>
      <c r="F273" s="6">
        <v>5.4844318917047e-5</v>
      </c>
      <c r="G273" s="8">
        <v>-0.103758032832197</v>
      </c>
    </row>
    <row r="274" spans="1:7">
      <c r="A274" s="3">
        <v>270</v>
      </c>
      <c r="B274" s="3" t="s">
        <v>390</v>
      </c>
      <c r="C274" s="5">
        <v>0</v>
      </c>
      <c r="D274" s="5">
        <v>903</v>
      </c>
      <c r="E274" s="6">
        <v>0</v>
      </c>
      <c r="F274" s="6">
        <v>5.45471186691486e-5</v>
      </c>
      <c r="G274" s="3"/>
    </row>
    <row r="275" spans="1:7">
      <c r="A275" s="3">
        <v>271</v>
      </c>
      <c r="B275" s="3" t="s">
        <v>391</v>
      </c>
      <c r="C275" s="5">
        <v>3151.21</v>
      </c>
      <c r="D275" s="5">
        <v>896.56</v>
      </c>
      <c r="E275" s="6">
        <v>0.000162770981586866</v>
      </c>
      <c r="F275" s="6">
        <v>5.41581004584849e-5</v>
      </c>
      <c r="G275" s="8">
        <v>-0.715487066872725</v>
      </c>
    </row>
    <row r="276" spans="1:7">
      <c r="A276" s="3">
        <v>272</v>
      </c>
      <c r="B276" s="3" t="s">
        <v>392</v>
      </c>
      <c r="C276" s="5">
        <v>0</v>
      </c>
      <c r="D276" s="5">
        <v>892.35</v>
      </c>
      <c r="E276" s="6">
        <v>0</v>
      </c>
      <c r="F276" s="6">
        <v>5.39037888642467e-5</v>
      </c>
      <c r="G276" s="3"/>
    </row>
    <row r="277" spans="1:7">
      <c r="A277" s="3">
        <v>273</v>
      </c>
      <c r="B277" s="3" t="s">
        <v>393</v>
      </c>
      <c r="C277" s="5">
        <v>1944.96</v>
      </c>
      <c r="D277" s="5">
        <v>883.66</v>
      </c>
      <c r="E277" s="6">
        <v>0.000100463964111307</v>
      </c>
      <c r="F277" s="6">
        <v>5.33788559060685e-5</v>
      </c>
      <c r="G277" s="8">
        <v>-0.545666748930569</v>
      </c>
    </row>
    <row r="278" spans="1:7">
      <c r="A278" s="3">
        <v>274</v>
      </c>
      <c r="B278" s="3" t="s">
        <v>394</v>
      </c>
      <c r="C278" s="5">
        <v>1285.83</v>
      </c>
      <c r="D278" s="5">
        <v>880.11</v>
      </c>
      <c r="E278" s="6">
        <v>6.64176018906515e-5</v>
      </c>
      <c r="F278" s="6">
        <v>5.31644126377679e-5</v>
      </c>
      <c r="G278" s="8">
        <v>-0.315531602155806</v>
      </c>
    </row>
    <row r="279" spans="1:7">
      <c r="A279" s="3">
        <v>275</v>
      </c>
      <c r="B279" s="3" t="s">
        <v>395</v>
      </c>
      <c r="C279" s="5">
        <v>1972.04</v>
      </c>
      <c r="D279" s="5">
        <v>870.14</v>
      </c>
      <c r="E279" s="6">
        <v>0.000101862740511919</v>
      </c>
      <c r="F279" s="6">
        <v>5.25621592898926e-5</v>
      </c>
      <c r="G279" s="8">
        <v>-0.558761485568244</v>
      </c>
    </row>
    <row r="280" spans="1:7">
      <c r="A280" s="3">
        <v>276</v>
      </c>
      <c r="B280" s="3" t="s">
        <v>396</v>
      </c>
      <c r="C280" s="5">
        <v>549.94</v>
      </c>
      <c r="D280" s="5">
        <v>869.9</v>
      </c>
      <c r="E280" s="6">
        <v>2.84063180853961e-5</v>
      </c>
      <c r="F280" s="6">
        <v>5.25476617168243e-5</v>
      </c>
      <c r="G280" s="7">
        <v>0.581808924609958</v>
      </c>
    </row>
    <row r="281" spans="1:7">
      <c r="A281" s="3">
        <v>277</v>
      </c>
      <c r="B281" s="3" t="s">
        <v>397</v>
      </c>
      <c r="C281" s="5">
        <v>1054.41</v>
      </c>
      <c r="D281" s="5">
        <v>864.91</v>
      </c>
      <c r="E281" s="6">
        <v>5.44639521628223e-5</v>
      </c>
      <c r="F281" s="6">
        <v>5.22462330101144e-5</v>
      </c>
      <c r="G281" s="8">
        <v>-0.179721360760994</v>
      </c>
    </row>
    <row r="282" spans="1:7">
      <c r="A282" s="3">
        <v>278</v>
      </c>
      <c r="B282" s="3" t="s">
        <v>398</v>
      </c>
      <c r="C282" s="5">
        <v>4545.72</v>
      </c>
      <c r="D282" s="5">
        <v>840.65</v>
      </c>
      <c r="E282" s="6">
        <v>0.000234802284334922</v>
      </c>
      <c r="F282" s="6">
        <v>5.0780769999136e-5</v>
      </c>
      <c r="G282" s="8">
        <v>-0.815067800040478</v>
      </c>
    </row>
    <row r="283" spans="1:7">
      <c r="A283" s="3">
        <v>279</v>
      </c>
      <c r="B283" s="3" t="s">
        <v>399</v>
      </c>
      <c r="C283" s="5">
        <v>3132.99</v>
      </c>
      <c r="D283" s="5">
        <v>837.45</v>
      </c>
      <c r="E283" s="6">
        <v>0.000161829855072126</v>
      </c>
      <c r="F283" s="6">
        <v>5.05874690248931e-5</v>
      </c>
      <c r="G283" s="8">
        <v>-0.732699434086927</v>
      </c>
    </row>
    <row r="284" spans="1:7">
      <c r="A284" s="3">
        <v>280</v>
      </c>
      <c r="B284" s="3" t="s">
        <v>400</v>
      </c>
      <c r="C284" s="5">
        <v>2064.47</v>
      </c>
      <c r="D284" s="5">
        <v>832.83</v>
      </c>
      <c r="E284" s="6">
        <v>0.000106637072221984</v>
      </c>
      <c r="F284" s="6">
        <v>5.03083907433301e-5</v>
      </c>
      <c r="G284" s="8">
        <v>-0.596588955034464</v>
      </c>
    </row>
    <row r="285" spans="1:7">
      <c r="A285" s="3">
        <v>281</v>
      </c>
      <c r="B285" s="3" t="s">
        <v>401</v>
      </c>
      <c r="C285" s="5">
        <v>419</v>
      </c>
      <c r="D285" s="5">
        <v>826</v>
      </c>
      <c r="E285" s="6">
        <v>2.16428106298523e-5</v>
      </c>
      <c r="F285" s="6">
        <v>4.98958139764305e-5</v>
      </c>
      <c r="G285" s="7">
        <v>0.971360381861575</v>
      </c>
    </row>
    <row r="286" spans="1:7">
      <c r="A286" s="3">
        <v>282</v>
      </c>
      <c r="B286" s="3" t="s">
        <v>402</v>
      </c>
      <c r="C286" s="5">
        <v>2198.67</v>
      </c>
      <c r="D286" s="5">
        <v>810.39</v>
      </c>
      <c r="E286" s="6">
        <v>0.000113568970041855</v>
      </c>
      <c r="F286" s="6">
        <v>4.89528676614522e-5</v>
      </c>
      <c r="G286" s="8">
        <v>-0.631418084569308</v>
      </c>
    </row>
    <row r="287" spans="1:7">
      <c r="A287" s="3">
        <v>283</v>
      </c>
      <c r="B287" s="3" t="s">
        <v>403</v>
      </c>
      <c r="C287" s="5">
        <v>881.37</v>
      </c>
      <c r="D287" s="5">
        <v>809.49</v>
      </c>
      <c r="E287" s="6">
        <v>4.55258329470953e-5</v>
      </c>
      <c r="F287" s="6">
        <v>4.88985017624464e-5</v>
      </c>
      <c r="G287" s="8">
        <v>-0.0815548521052453</v>
      </c>
    </row>
    <row r="288" spans="1:7">
      <c r="A288" s="3">
        <v>284</v>
      </c>
      <c r="B288" s="3" t="s">
        <v>404</v>
      </c>
      <c r="C288" s="5">
        <v>113.95</v>
      </c>
      <c r="D288" s="5">
        <v>799.1</v>
      </c>
      <c r="E288" s="6">
        <v>5.885914728572e-6</v>
      </c>
      <c r="F288" s="6">
        <v>4.82708776617017e-5</v>
      </c>
      <c r="G288" s="7">
        <v>6.01272487933304</v>
      </c>
    </row>
    <row r="289" spans="1:7">
      <c r="A289" s="3">
        <v>285</v>
      </c>
      <c r="B289" s="3" t="s">
        <v>405</v>
      </c>
      <c r="C289" s="5">
        <v>606.91</v>
      </c>
      <c r="D289" s="5">
        <v>794.08</v>
      </c>
      <c r="E289" s="6">
        <v>3.13490171822522e-5</v>
      </c>
      <c r="F289" s="6">
        <v>4.79676367583583e-5</v>
      </c>
      <c r="G289" s="7">
        <v>0.308398279810845</v>
      </c>
    </row>
    <row r="290" spans="1:7">
      <c r="A290" s="3">
        <v>286</v>
      </c>
      <c r="B290" s="3" t="s">
        <v>406</v>
      </c>
      <c r="C290" s="5">
        <v>892.61</v>
      </c>
      <c r="D290" s="5">
        <v>787.91</v>
      </c>
      <c r="E290" s="6">
        <v>4.6106418129624e-5</v>
      </c>
      <c r="F290" s="6">
        <v>4.75949283173963e-5</v>
      </c>
      <c r="G290" s="8">
        <v>-0.117296467662249</v>
      </c>
    </row>
    <row r="291" spans="1:7">
      <c r="A291" s="3">
        <v>287</v>
      </c>
      <c r="B291" s="3" t="s">
        <v>407</v>
      </c>
      <c r="C291" s="5">
        <v>2794.63</v>
      </c>
      <c r="D291" s="5">
        <v>785.9</v>
      </c>
      <c r="E291" s="6">
        <v>0.000144352381552516</v>
      </c>
      <c r="F291" s="6">
        <v>4.74735111429501e-5</v>
      </c>
      <c r="G291" s="8">
        <v>-0.718782092799405</v>
      </c>
    </row>
    <row r="292" spans="1:7">
      <c r="A292" s="3">
        <v>288</v>
      </c>
      <c r="B292" s="3" t="s">
        <v>408</v>
      </c>
      <c r="C292" s="5">
        <v>0</v>
      </c>
      <c r="D292" s="5">
        <v>779.63</v>
      </c>
      <c r="E292" s="6">
        <v>0</v>
      </c>
      <c r="F292" s="6">
        <v>4.7094762046543e-5</v>
      </c>
      <c r="G292" s="3"/>
    </row>
    <row r="293" spans="1:7">
      <c r="A293" s="3">
        <v>289</v>
      </c>
      <c r="B293" s="3" t="s">
        <v>409</v>
      </c>
      <c r="C293" s="5">
        <v>7411.01</v>
      </c>
      <c r="D293" s="5">
        <v>778.89</v>
      </c>
      <c r="E293" s="6">
        <v>0.000382804501207498</v>
      </c>
      <c r="F293" s="6">
        <v>4.70500611962493e-5</v>
      </c>
      <c r="G293" s="8">
        <v>-0.894900964915713</v>
      </c>
    </row>
    <row r="294" spans="1:7">
      <c r="A294" s="3">
        <v>290</v>
      </c>
      <c r="B294" s="3" t="s">
        <v>410</v>
      </c>
      <c r="C294" s="5">
        <v>777.48</v>
      </c>
      <c r="D294" s="5">
        <v>777.14</v>
      </c>
      <c r="E294" s="6">
        <v>4.01595522875837e-5</v>
      </c>
      <c r="F294" s="6">
        <v>4.69443497259603e-5</v>
      </c>
      <c r="G294" s="8">
        <v>-0.000437310284508996</v>
      </c>
    </row>
    <row r="295" spans="1:7">
      <c r="A295" s="3">
        <v>291</v>
      </c>
      <c r="B295" s="3" t="s">
        <v>411</v>
      </c>
      <c r="C295" s="5">
        <v>14054.09</v>
      </c>
      <c r="D295" s="5">
        <v>772.59</v>
      </c>
      <c r="E295" s="6">
        <v>0.000725942740918618</v>
      </c>
      <c r="F295" s="6">
        <v>4.66694999032088e-5</v>
      </c>
      <c r="G295" s="8">
        <v>-0.94502739060302</v>
      </c>
    </row>
    <row r="296" spans="1:7">
      <c r="A296" s="3">
        <v>292</v>
      </c>
      <c r="B296" s="3" t="s">
        <v>412</v>
      </c>
      <c r="C296" s="5">
        <v>29.97</v>
      </c>
      <c r="D296" s="5">
        <v>759.24</v>
      </c>
      <c r="E296" s="6">
        <v>1.54805497512332e-6</v>
      </c>
      <c r="F296" s="6">
        <v>4.58630724012895e-5</v>
      </c>
      <c r="G296" s="7">
        <v>24.3333333333333</v>
      </c>
    </row>
    <row r="297" spans="1:7">
      <c r="A297" s="3">
        <v>293</v>
      </c>
      <c r="B297" s="3" t="s">
        <v>413</v>
      </c>
      <c r="C297" s="5">
        <v>56.97</v>
      </c>
      <c r="D297" s="5">
        <v>747.73</v>
      </c>
      <c r="E297" s="6">
        <v>2.94269909685605e-6</v>
      </c>
      <c r="F297" s="6">
        <v>4.51677929595598e-5</v>
      </c>
      <c r="G297" s="7">
        <v>12.1249780586274</v>
      </c>
    </row>
    <row r="298" spans="1:7">
      <c r="A298" s="3">
        <v>294</v>
      </c>
      <c r="B298" s="3" t="s">
        <v>414</v>
      </c>
      <c r="C298" s="5">
        <v>1432.51</v>
      </c>
      <c r="D298" s="5">
        <v>739.86</v>
      </c>
      <c r="E298" s="6">
        <v>7.39941352156795e-5</v>
      </c>
      <c r="F298" s="6">
        <v>4.46923933760313e-5</v>
      </c>
      <c r="G298" s="8">
        <v>-0.483521930038883</v>
      </c>
    </row>
    <row r="299" spans="1:7">
      <c r="A299" s="3">
        <v>295</v>
      </c>
      <c r="B299" s="3" t="s">
        <v>415</v>
      </c>
      <c r="C299" s="5">
        <v>1674.38</v>
      </c>
      <c r="D299" s="5">
        <v>739.48</v>
      </c>
      <c r="E299" s="6">
        <v>8.64875638721052e-5</v>
      </c>
      <c r="F299" s="6">
        <v>4.466943888534e-5</v>
      </c>
      <c r="G299" s="8">
        <v>-0.558355928761691</v>
      </c>
    </row>
    <row r="300" spans="1:7">
      <c r="A300" s="3">
        <v>296</v>
      </c>
      <c r="B300" s="3" t="s">
        <v>416</v>
      </c>
      <c r="C300" s="5">
        <v>2043.78</v>
      </c>
      <c r="D300" s="5">
        <v>735.9</v>
      </c>
      <c r="E300" s="6">
        <v>0.000105568361596848</v>
      </c>
      <c r="F300" s="6">
        <v>4.44531834204058e-5</v>
      </c>
      <c r="G300" s="8">
        <v>-0.639931890908023</v>
      </c>
    </row>
    <row r="301" spans="1:7">
      <c r="A301" s="3">
        <v>297</v>
      </c>
      <c r="B301" s="3" t="s">
        <v>417</v>
      </c>
      <c r="C301" s="5">
        <v>0</v>
      </c>
      <c r="D301" s="5">
        <v>729.68</v>
      </c>
      <c r="E301" s="6">
        <v>0</v>
      </c>
      <c r="F301" s="6">
        <v>4.40774546517213e-5</v>
      </c>
      <c r="G301" s="3"/>
    </row>
    <row r="302" spans="1:7">
      <c r="A302" s="3">
        <v>298</v>
      </c>
      <c r="B302" s="3" t="s">
        <v>418</v>
      </c>
      <c r="C302" s="5">
        <v>5524.12</v>
      </c>
      <c r="D302" s="5">
        <v>727.57</v>
      </c>
      <c r="E302" s="6">
        <v>0.000285340055027636</v>
      </c>
      <c r="F302" s="6">
        <v>4.394999682183e-5</v>
      </c>
      <c r="G302" s="8">
        <v>-0.868292144269132</v>
      </c>
    </row>
    <row r="303" spans="1:7">
      <c r="A303" s="3">
        <v>299</v>
      </c>
      <c r="B303" s="3" t="s">
        <v>419</v>
      </c>
      <c r="C303" s="5">
        <v>1431.08</v>
      </c>
      <c r="D303" s="5">
        <v>722.68</v>
      </c>
      <c r="E303" s="6">
        <v>7.39202707307136e-5</v>
      </c>
      <c r="F303" s="6">
        <v>4.36546087705651e-5</v>
      </c>
      <c r="G303" s="8">
        <v>-0.495010761103502</v>
      </c>
    </row>
    <row r="304" spans="1:7">
      <c r="A304" s="3">
        <v>300</v>
      </c>
      <c r="B304" s="3" t="s">
        <v>420</v>
      </c>
      <c r="C304" s="5">
        <v>1244.25</v>
      </c>
      <c r="D304" s="5">
        <v>721.6</v>
      </c>
      <c r="E304" s="6">
        <v>6.42698499431831e-5</v>
      </c>
      <c r="F304" s="6">
        <v>4.35893696917582e-5</v>
      </c>
      <c r="G304" s="8">
        <v>-0.420052240305405</v>
      </c>
    </row>
    <row r="305" spans="1:7">
      <c r="A305" s="3">
        <v>301</v>
      </c>
      <c r="B305" s="3" t="s">
        <v>421</v>
      </c>
      <c r="C305" s="5">
        <v>4156</v>
      </c>
      <c r="D305" s="5">
        <v>718.72</v>
      </c>
      <c r="E305" s="6">
        <v>0.00021467188777486</v>
      </c>
      <c r="F305" s="6">
        <v>4.34153988149396e-5</v>
      </c>
      <c r="G305" s="8">
        <v>-0.827064485081809</v>
      </c>
    </row>
    <row r="306" spans="1:7">
      <c r="A306" s="3">
        <v>302</v>
      </c>
      <c r="B306" s="3" t="s">
        <v>422</v>
      </c>
      <c r="C306" s="5">
        <v>841.82</v>
      </c>
      <c r="D306" s="5">
        <v>709.6</v>
      </c>
      <c r="E306" s="6">
        <v>4.34829375761868e-5</v>
      </c>
      <c r="F306" s="6">
        <v>4.28644910383476e-5</v>
      </c>
      <c r="G306" s="8">
        <v>-0.157064455584329</v>
      </c>
    </row>
    <row r="307" spans="1:7">
      <c r="A307" s="3">
        <v>303</v>
      </c>
      <c r="B307" s="3" t="s">
        <v>423</v>
      </c>
      <c r="C307" s="5">
        <v>149.97</v>
      </c>
      <c r="D307" s="5">
        <v>708.87</v>
      </c>
      <c r="E307" s="6">
        <v>7.74647329393544e-6</v>
      </c>
      <c r="F307" s="6">
        <v>4.28203942535984e-5</v>
      </c>
      <c r="G307" s="7">
        <v>3.72674534906981</v>
      </c>
    </row>
    <row r="308" spans="1:7">
      <c r="A308" s="3">
        <v>304</v>
      </c>
      <c r="B308" s="3" t="s">
        <v>424</v>
      </c>
      <c r="C308" s="5">
        <v>0</v>
      </c>
      <c r="D308" s="5">
        <v>705.04</v>
      </c>
      <c r="E308" s="6">
        <v>0</v>
      </c>
      <c r="F308" s="6">
        <v>4.25890371500515e-5</v>
      </c>
      <c r="G308" s="3"/>
    </row>
    <row r="309" spans="1:7">
      <c r="A309" s="3">
        <v>305</v>
      </c>
      <c r="B309" s="3" t="s">
        <v>425</v>
      </c>
      <c r="C309" s="5">
        <v>0</v>
      </c>
      <c r="D309" s="5">
        <v>701.46</v>
      </c>
      <c r="E309" s="6">
        <v>0</v>
      </c>
      <c r="F309" s="6">
        <v>4.23727816851174e-5</v>
      </c>
      <c r="G309" s="3"/>
    </row>
    <row r="310" spans="1:7">
      <c r="A310" s="3">
        <v>306</v>
      </c>
      <c r="B310" s="3" t="s">
        <v>426</v>
      </c>
      <c r="C310" s="5">
        <v>449.91</v>
      </c>
      <c r="D310" s="5">
        <v>699.86</v>
      </c>
      <c r="E310" s="6">
        <v>2.32394198818063e-5</v>
      </c>
      <c r="F310" s="6">
        <v>4.2276131197996e-5</v>
      </c>
      <c r="G310" s="7">
        <v>0.555555555555556</v>
      </c>
    </row>
    <row r="311" spans="1:7">
      <c r="A311" s="3">
        <v>307</v>
      </c>
      <c r="B311" s="3" t="s">
        <v>427</v>
      </c>
      <c r="C311" s="5">
        <v>0</v>
      </c>
      <c r="D311" s="5">
        <v>699.84</v>
      </c>
      <c r="E311" s="6">
        <v>0</v>
      </c>
      <c r="F311" s="6">
        <v>4.22749230669069e-5</v>
      </c>
      <c r="G311" s="3"/>
    </row>
    <row r="312" spans="1:7">
      <c r="A312" s="3">
        <v>308</v>
      </c>
      <c r="B312" s="3" t="s">
        <v>428</v>
      </c>
      <c r="C312" s="5">
        <v>0</v>
      </c>
      <c r="D312" s="5">
        <v>694.9</v>
      </c>
      <c r="E312" s="6">
        <v>0</v>
      </c>
      <c r="F312" s="6">
        <v>4.19765146879196e-5</v>
      </c>
      <c r="G312" s="3"/>
    </row>
    <row r="313" spans="1:7">
      <c r="A313" s="3">
        <v>309</v>
      </c>
      <c r="B313" s="3" t="s">
        <v>429</v>
      </c>
      <c r="C313" s="5">
        <v>2814.5</v>
      </c>
      <c r="D313" s="5">
        <v>693.25</v>
      </c>
      <c r="E313" s="6">
        <v>0.000145378736319139</v>
      </c>
      <c r="F313" s="6">
        <v>4.18768438730756e-5</v>
      </c>
      <c r="G313" s="8">
        <v>-0.75368626754308</v>
      </c>
    </row>
    <row r="314" spans="1:7">
      <c r="A314" s="3">
        <v>310</v>
      </c>
      <c r="B314" s="3" t="s">
        <v>430</v>
      </c>
      <c r="C314" s="5">
        <v>0</v>
      </c>
      <c r="D314" s="5">
        <v>688.52</v>
      </c>
      <c r="E314" s="6">
        <v>0</v>
      </c>
      <c r="F314" s="6">
        <v>4.15911208705229e-5</v>
      </c>
      <c r="G314" s="3"/>
    </row>
    <row r="315" spans="1:7">
      <c r="A315" s="3">
        <v>311</v>
      </c>
      <c r="B315" s="3" t="s">
        <v>431</v>
      </c>
      <c r="C315" s="5">
        <v>1916.95</v>
      </c>
      <c r="D315" s="5">
        <v>686.47</v>
      </c>
      <c r="E315" s="6">
        <v>9.9017149968724e-5</v>
      </c>
      <c r="F315" s="6">
        <v>4.14672874338986e-5</v>
      </c>
      <c r="G315" s="8">
        <v>-0.641894676439135</v>
      </c>
    </row>
    <row r="316" spans="1:7">
      <c r="A316" s="3">
        <v>312</v>
      </c>
      <c r="B316" s="3" t="s">
        <v>432</v>
      </c>
      <c r="C316" s="5">
        <v>1787.78</v>
      </c>
      <c r="D316" s="5">
        <v>685.67</v>
      </c>
      <c r="E316" s="6">
        <v>9.23450691833827e-5</v>
      </c>
      <c r="F316" s="6">
        <v>4.14189621903379e-5</v>
      </c>
      <c r="G316" s="8">
        <v>-0.616468469274743</v>
      </c>
    </row>
    <row r="317" spans="1:7">
      <c r="A317" s="3">
        <v>313</v>
      </c>
      <c r="B317" s="3" t="s">
        <v>433</v>
      </c>
      <c r="C317" s="5">
        <v>1390.51</v>
      </c>
      <c r="D317" s="5">
        <v>683.38</v>
      </c>
      <c r="E317" s="6">
        <v>7.18246888040953e-5</v>
      </c>
      <c r="F317" s="6">
        <v>4.12806311806454e-5</v>
      </c>
      <c r="G317" s="8">
        <v>-0.508540032074563</v>
      </c>
    </row>
    <row r="318" spans="1:7">
      <c r="A318" s="3">
        <v>314</v>
      </c>
      <c r="B318" s="3" t="s">
        <v>434</v>
      </c>
      <c r="C318" s="5">
        <v>0</v>
      </c>
      <c r="D318" s="5">
        <v>678.64</v>
      </c>
      <c r="E318" s="6">
        <v>0</v>
      </c>
      <c r="F318" s="6">
        <v>4.09943041125482e-5</v>
      </c>
      <c r="G318" s="3"/>
    </row>
    <row r="319" spans="1:7">
      <c r="A319" s="3">
        <v>315</v>
      </c>
      <c r="B319" s="3" t="s">
        <v>435</v>
      </c>
      <c r="C319" s="5">
        <v>2530.67</v>
      </c>
      <c r="D319" s="5">
        <v>675.88</v>
      </c>
      <c r="E319" s="6">
        <v>0.000130717927390569</v>
      </c>
      <c r="F319" s="6">
        <v>4.08275820222638e-5</v>
      </c>
      <c r="G319" s="8">
        <v>-0.732924482449312</v>
      </c>
    </row>
    <row r="320" spans="1:7">
      <c r="A320" s="3">
        <v>316</v>
      </c>
      <c r="B320" s="3" t="s">
        <v>436</v>
      </c>
      <c r="C320" s="5">
        <v>343.71</v>
      </c>
      <c r="D320" s="5">
        <v>670.07</v>
      </c>
      <c r="E320" s="6">
        <v>1.77538196696576e-5</v>
      </c>
      <c r="F320" s="6">
        <v>4.04766199409041e-5</v>
      </c>
      <c r="G320" s="7">
        <v>0.949521398853684</v>
      </c>
    </row>
    <row r="321" spans="1:7">
      <c r="A321" s="3">
        <v>317</v>
      </c>
      <c r="B321" s="3" t="s">
        <v>437</v>
      </c>
      <c r="C321" s="5">
        <v>19.72</v>
      </c>
      <c r="D321" s="5">
        <v>668.12</v>
      </c>
      <c r="E321" s="6">
        <v>1.01860674372479e-6</v>
      </c>
      <c r="F321" s="6">
        <v>4.03588271597249e-5</v>
      </c>
      <c r="G321" s="7">
        <v>32.8803245436105</v>
      </c>
    </row>
    <row r="322" spans="1:7">
      <c r="A322" s="3">
        <v>318</v>
      </c>
      <c r="B322" s="3" t="s">
        <v>438</v>
      </c>
      <c r="C322" s="5">
        <v>0</v>
      </c>
      <c r="D322" s="5">
        <v>664.93</v>
      </c>
      <c r="E322" s="6">
        <v>0</v>
      </c>
      <c r="F322" s="6">
        <v>4.01661302510266e-5</v>
      </c>
      <c r="G322" s="3"/>
    </row>
    <row r="323" spans="1:7">
      <c r="A323" s="3">
        <v>319</v>
      </c>
      <c r="B323" s="3" t="s">
        <v>439</v>
      </c>
      <c r="C323" s="5">
        <v>849.75</v>
      </c>
      <c r="D323" s="5">
        <v>649.75</v>
      </c>
      <c r="E323" s="6">
        <v>4.38925497200883e-5</v>
      </c>
      <c r="F323" s="6">
        <v>3.92491587544621e-5</v>
      </c>
      <c r="G323" s="8">
        <v>-0.235363342159459</v>
      </c>
    </row>
    <row r="324" spans="1:7">
      <c r="A324" s="3">
        <v>320</v>
      </c>
      <c r="B324" s="3" t="s">
        <v>440</v>
      </c>
      <c r="C324" s="5">
        <v>678.51</v>
      </c>
      <c r="D324" s="5">
        <v>647.44</v>
      </c>
      <c r="E324" s="6">
        <v>3.50474067791434e-5</v>
      </c>
      <c r="F324" s="6">
        <v>3.91096196136806e-5</v>
      </c>
      <c r="G324" s="8">
        <v>-0.0457915137580874</v>
      </c>
    </row>
    <row r="325" spans="1:7">
      <c r="A325" s="3">
        <v>321</v>
      </c>
      <c r="B325" s="3" t="s">
        <v>441</v>
      </c>
      <c r="C325" s="5">
        <v>330.82</v>
      </c>
      <c r="D325" s="5">
        <v>613.05</v>
      </c>
      <c r="E325" s="6">
        <v>1.70880062352452e-5</v>
      </c>
      <c r="F325" s="6">
        <v>3.70322382061147e-5</v>
      </c>
      <c r="G325" s="7">
        <v>0.853122543981621</v>
      </c>
    </row>
    <row r="326" spans="1:7">
      <c r="A326" s="3">
        <v>322</v>
      </c>
      <c r="B326" s="3" t="s">
        <v>442</v>
      </c>
      <c r="C326" s="5">
        <v>334.89</v>
      </c>
      <c r="D326" s="5">
        <v>607.78</v>
      </c>
      <c r="E326" s="6">
        <v>1.72982359232249e-5</v>
      </c>
      <c r="F326" s="6">
        <v>3.67138956641585e-5</v>
      </c>
      <c r="G326" s="7">
        <v>0.814864582400191</v>
      </c>
    </row>
    <row r="327" spans="1:7">
      <c r="A327" s="3">
        <v>323</v>
      </c>
      <c r="B327" s="3" t="s">
        <v>443</v>
      </c>
      <c r="C327" s="5">
        <v>520.56</v>
      </c>
      <c r="D327" s="5">
        <v>602.75</v>
      </c>
      <c r="E327" s="6">
        <v>2.68887386670069e-5</v>
      </c>
      <c r="F327" s="6">
        <v>3.64100506952706e-5</v>
      </c>
      <c r="G327" s="7">
        <v>0.157887659443676</v>
      </c>
    </row>
    <row r="328" spans="1:7">
      <c r="A328" s="3">
        <v>324</v>
      </c>
      <c r="B328" s="3" t="s">
        <v>444</v>
      </c>
      <c r="C328" s="5">
        <v>149.7</v>
      </c>
      <c r="D328" s="5">
        <v>599.93</v>
      </c>
      <c r="E328" s="6">
        <v>7.73252685271811e-6</v>
      </c>
      <c r="F328" s="6">
        <v>3.62397042117191e-5</v>
      </c>
      <c r="G328" s="7">
        <v>3.00754843019372</v>
      </c>
    </row>
    <row r="329" spans="1:7">
      <c r="A329" s="3">
        <v>325</v>
      </c>
      <c r="B329" s="3" t="s">
        <v>445</v>
      </c>
      <c r="C329" s="5">
        <v>9881.49</v>
      </c>
      <c r="D329" s="5">
        <v>591.57</v>
      </c>
      <c r="E329" s="6">
        <v>0.000510413405276322</v>
      </c>
      <c r="F329" s="6">
        <v>3.57347054165097e-5</v>
      </c>
      <c r="G329" s="8">
        <v>-0.94013352237365</v>
      </c>
    </row>
    <row r="330" spans="1:7">
      <c r="A330" s="3">
        <v>326</v>
      </c>
      <c r="B330" s="3" t="s">
        <v>446</v>
      </c>
      <c r="C330" s="5">
        <v>6845.75</v>
      </c>
      <c r="D330" s="5">
        <v>577.72</v>
      </c>
      <c r="E330" s="6">
        <v>0.000353606851716734</v>
      </c>
      <c r="F330" s="6">
        <v>3.48980746373649e-5</v>
      </c>
      <c r="G330" s="8">
        <v>-0.915608954460797</v>
      </c>
    </row>
    <row r="331" spans="1:7">
      <c r="A331" s="3">
        <v>327</v>
      </c>
      <c r="B331" s="3" t="s">
        <v>447</v>
      </c>
      <c r="C331" s="5">
        <v>0</v>
      </c>
      <c r="D331" s="5">
        <v>569.81</v>
      </c>
      <c r="E331" s="6">
        <v>0</v>
      </c>
      <c r="F331" s="6">
        <v>3.44202587916584e-5</v>
      </c>
      <c r="G331" s="3"/>
    </row>
    <row r="332" spans="1:7">
      <c r="A332" s="3">
        <v>328</v>
      </c>
      <c r="B332" s="3" t="s">
        <v>448</v>
      </c>
      <c r="C332" s="5">
        <v>23.98</v>
      </c>
      <c r="D332" s="5">
        <v>566.62</v>
      </c>
      <c r="E332" s="6">
        <v>1.23865059404262e-6</v>
      </c>
      <c r="F332" s="6">
        <v>3.42275618829601e-5</v>
      </c>
      <c r="G332" s="7">
        <v>22.628857381151</v>
      </c>
    </row>
    <row r="333" spans="1:7">
      <c r="A333" s="3">
        <v>329</v>
      </c>
      <c r="B333" s="3" t="s">
        <v>449</v>
      </c>
      <c r="C333" s="5">
        <v>957.63</v>
      </c>
      <c r="D333" s="5">
        <v>562.02</v>
      </c>
      <c r="E333" s="6">
        <v>4.94649277887004e-5</v>
      </c>
      <c r="F333" s="6">
        <v>3.39496917324861e-5</v>
      </c>
      <c r="G333" s="8">
        <v>-0.413113624259892</v>
      </c>
    </row>
    <row r="334" spans="1:7">
      <c r="A334" s="3">
        <v>330</v>
      </c>
      <c r="B334" s="3" t="s">
        <v>450</v>
      </c>
      <c r="C334" s="5">
        <v>1647.18</v>
      </c>
      <c r="D334" s="5">
        <v>561.4</v>
      </c>
      <c r="E334" s="6">
        <v>8.50825890531745e-5</v>
      </c>
      <c r="F334" s="6">
        <v>3.39122396687265e-5</v>
      </c>
      <c r="G334" s="8">
        <v>-0.659175074976627</v>
      </c>
    </row>
    <row r="335" spans="1:7">
      <c r="A335" s="3">
        <v>331</v>
      </c>
      <c r="B335" s="3" t="s">
        <v>451</v>
      </c>
      <c r="C335" s="5">
        <v>354.8</v>
      </c>
      <c r="D335" s="5">
        <v>560.67</v>
      </c>
      <c r="E335" s="6">
        <v>1.83266568292878e-5</v>
      </c>
      <c r="F335" s="6">
        <v>3.38681428839774e-5</v>
      </c>
      <c r="G335" s="7">
        <v>0.580242390078918</v>
      </c>
    </row>
    <row r="336" spans="1:7">
      <c r="A336" s="3">
        <v>332</v>
      </c>
      <c r="B336" s="3" t="s">
        <v>452</v>
      </c>
      <c r="C336" s="5">
        <v>1653</v>
      </c>
      <c r="D336" s="5">
        <v>554.99</v>
      </c>
      <c r="E336" s="6">
        <v>8.53832123416368e-5</v>
      </c>
      <c r="F336" s="6">
        <v>3.35250336546963e-5</v>
      </c>
      <c r="G336" s="8">
        <v>-0.664252873563218</v>
      </c>
    </row>
    <row r="337" spans="1:7">
      <c r="A337" s="3">
        <v>333</v>
      </c>
      <c r="B337" s="3" t="s">
        <v>453</v>
      </c>
      <c r="C337" s="5">
        <v>0</v>
      </c>
      <c r="D337" s="5">
        <v>552.1</v>
      </c>
      <c r="E337" s="6">
        <v>0</v>
      </c>
      <c r="F337" s="6">
        <v>3.33504587123333e-5</v>
      </c>
      <c r="G337" s="3"/>
    </row>
    <row r="338" spans="1:7">
      <c r="A338" s="3">
        <v>334</v>
      </c>
      <c r="B338" s="3" t="s">
        <v>454</v>
      </c>
      <c r="C338" s="5">
        <v>1997.57</v>
      </c>
      <c r="D338" s="5">
        <v>548.31</v>
      </c>
      <c r="E338" s="6">
        <v>0.000103181454009246</v>
      </c>
      <c r="F338" s="6">
        <v>3.31215178709644e-5</v>
      </c>
      <c r="G338" s="8">
        <v>-0.725511496468209</v>
      </c>
    </row>
    <row r="339" spans="1:7">
      <c r="A339" s="3">
        <v>335</v>
      </c>
      <c r="B339" s="3" t="s">
        <v>455</v>
      </c>
      <c r="C339" s="5">
        <v>1785.7</v>
      </c>
      <c r="D339" s="5">
        <v>543.94</v>
      </c>
      <c r="E339" s="6">
        <v>9.22376299325232e-5</v>
      </c>
      <c r="F339" s="6">
        <v>3.28575412280141e-5</v>
      </c>
      <c r="G339" s="8">
        <v>-0.695391163129305</v>
      </c>
    </row>
    <row r="340" spans="1:7">
      <c r="A340" s="3">
        <v>336</v>
      </c>
      <c r="B340" s="3" t="s">
        <v>456</v>
      </c>
      <c r="C340" s="5">
        <v>1870.33</v>
      </c>
      <c r="D340" s="5">
        <v>543.69</v>
      </c>
      <c r="E340" s="6">
        <v>9.66090644518655e-5</v>
      </c>
      <c r="F340" s="6">
        <v>3.28424395894013e-5</v>
      </c>
      <c r="G340" s="8">
        <v>-0.709307983083199</v>
      </c>
    </row>
    <row r="341" spans="1:7">
      <c r="A341" s="3">
        <v>337</v>
      </c>
      <c r="B341" s="3" t="s">
        <v>457</v>
      </c>
      <c r="C341" s="5">
        <v>44.95</v>
      </c>
      <c r="D341" s="5">
        <v>539.7</v>
      </c>
      <c r="E341" s="6">
        <v>2.32182419525504e-6</v>
      </c>
      <c r="F341" s="6">
        <v>3.26014174371423e-5</v>
      </c>
      <c r="G341" s="7">
        <v>11.0066740823137</v>
      </c>
    </row>
    <row r="342" spans="1:7">
      <c r="A342" s="3">
        <v>338</v>
      </c>
      <c r="B342" s="3" t="s">
        <v>458</v>
      </c>
      <c r="C342" s="5">
        <v>0</v>
      </c>
      <c r="D342" s="5">
        <v>532.32</v>
      </c>
      <c r="E342" s="6">
        <v>0</v>
      </c>
      <c r="F342" s="6">
        <v>3.21556170652948e-5</v>
      </c>
      <c r="G342" s="3"/>
    </row>
    <row r="343" spans="1:7">
      <c r="A343" s="3">
        <v>339</v>
      </c>
      <c r="B343" s="3" t="s">
        <v>459</v>
      </c>
      <c r="C343" s="5">
        <v>26009.57</v>
      </c>
      <c r="D343" s="5">
        <v>527.67</v>
      </c>
      <c r="E343" s="6">
        <v>0.00134348495960355</v>
      </c>
      <c r="F343" s="6">
        <v>3.18747265870982e-5</v>
      </c>
      <c r="G343" s="8">
        <v>-0.979712467372586</v>
      </c>
    </row>
    <row r="344" spans="1:7">
      <c r="A344" s="3">
        <v>340</v>
      </c>
      <c r="B344" s="3" t="s">
        <v>460</v>
      </c>
      <c r="C344" s="5">
        <v>0</v>
      </c>
      <c r="D344" s="5">
        <v>525.87</v>
      </c>
      <c r="E344" s="6">
        <v>0</v>
      </c>
      <c r="F344" s="6">
        <v>3.17659947890866e-5</v>
      </c>
      <c r="G344" s="3"/>
    </row>
    <row r="345" spans="1:7">
      <c r="A345" s="3">
        <v>341</v>
      </c>
      <c r="B345" s="3" t="s">
        <v>461</v>
      </c>
      <c r="C345" s="5">
        <v>644.91</v>
      </c>
      <c r="D345" s="5">
        <v>512.73</v>
      </c>
      <c r="E345" s="6">
        <v>3.3311849649876e-5</v>
      </c>
      <c r="F345" s="6">
        <v>3.0972252663602e-5</v>
      </c>
      <c r="G345" s="8">
        <v>-0.204958831464855</v>
      </c>
    </row>
    <row r="346" spans="1:7">
      <c r="A346" s="3">
        <v>342</v>
      </c>
      <c r="B346" s="3" t="s">
        <v>462</v>
      </c>
      <c r="C346" s="5">
        <v>171.4</v>
      </c>
      <c r="D346" s="5">
        <v>508.3</v>
      </c>
      <c r="E346" s="6">
        <v>8.8534074987033e-6</v>
      </c>
      <c r="F346" s="6">
        <v>3.07046516273845e-5</v>
      </c>
      <c r="G346" s="7">
        <v>1.96557759626604</v>
      </c>
    </row>
    <row r="347" spans="1:7">
      <c r="A347" s="3">
        <v>343</v>
      </c>
      <c r="B347" s="3" t="s">
        <v>463</v>
      </c>
      <c r="C347" s="5">
        <v>401.28</v>
      </c>
      <c r="D347" s="5">
        <v>500.25</v>
      </c>
      <c r="E347" s="6">
        <v>2.07275108581077e-5</v>
      </c>
      <c r="F347" s="6">
        <v>3.02183788640549e-5</v>
      </c>
      <c r="G347" s="7">
        <v>0.246635765550239</v>
      </c>
    </row>
    <row r="348" spans="1:7">
      <c r="A348" s="3">
        <v>344</v>
      </c>
      <c r="B348" s="3" t="s">
        <v>464</v>
      </c>
      <c r="C348" s="5">
        <v>802.5</v>
      </c>
      <c r="D348" s="5">
        <v>496.38</v>
      </c>
      <c r="E348" s="6">
        <v>4.1451922507056e-5</v>
      </c>
      <c r="F348" s="6">
        <v>2.998460549833e-5</v>
      </c>
      <c r="G348" s="8">
        <v>-0.381457943925234</v>
      </c>
    </row>
    <row r="349" spans="1:7">
      <c r="A349" s="3">
        <v>345</v>
      </c>
      <c r="B349" s="3" t="s">
        <v>465</v>
      </c>
      <c r="C349" s="5">
        <v>5004.84</v>
      </c>
      <c r="D349" s="5">
        <v>493.46</v>
      </c>
      <c r="E349" s="6">
        <v>0.000258517432822697</v>
      </c>
      <c r="F349" s="6">
        <v>2.98082183593334e-5</v>
      </c>
      <c r="G349" s="8">
        <v>-0.901403441468658</v>
      </c>
    </row>
    <row r="350" spans="1:7">
      <c r="A350" s="3">
        <v>346</v>
      </c>
      <c r="B350" s="3" t="s">
        <v>466</v>
      </c>
      <c r="C350" s="5">
        <v>0</v>
      </c>
      <c r="D350" s="5">
        <v>487.91</v>
      </c>
      <c r="E350" s="6">
        <v>0</v>
      </c>
      <c r="F350" s="6">
        <v>2.9472961982131e-5</v>
      </c>
      <c r="G350" s="3"/>
    </row>
    <row r="351" spans="1:7">
      <c r="A351" s="3">
        <v>347</v>
      </c>
      <c r="B351" s="3" t="s">
        <v>467</v>
      </c>
      <c r="C351" s="5">
        <v>1025.63</v>
      </c>
      <c r="D351" s="5">
        <v>485.09</v>
      </c>
      <c r="E351" s="6">
        <v>5.29773648360272e-5</v>
      </c>
      <c r="F351" s="6">
        <v>2.93026154985795e-5</v>
      </c>
      <c r="G351" s="8">
        <v>-0.52703216559578</v>
      </c>
    </row>
    <row r="352" spans="1:7">
      <c r="A352" s="3">
        <v>348</v>
      </c>
      <c r="B352" s="3" t="s">
        <v>468</v>
      </c>
      <c r="C352" s="5">
        <v>931.04</v>
      </c>
      <c r="D352" s="5">
        <v>475.36</v>
      </c>
      <c r="E352" s="6">
        <v>4.80914615962236e-5</v>
      </c>
      <c r="F352" s="6">
        <v>2.87148597237724e-5</v>
      </c>
      <c r="G352" s="8">
        <v>-0.489431173741193</v>
      </c>
    </row>
    <row r="353" spans="1:7">
      <c r="A353" s="3">
        <v>349</v>
      </c>
      <c r="B353" s="3" t="s">
        <v>469</v>
      </c>
      <c r="C353" s="5">
        <v>676</v>
      </c>
      <c r="D353" s="5">
        <v>458.15</v>
      </c>
      <c r="E353" s="6">
        <v>3.49177565293082e-5</v>
      </c>
      <c r="F353" s="6">
        <v>2.76752629216727e-5</v>
      </c>
      <c r="G353" s="8">
        <v>-0.322263313609468</v>
      </c>
    </row>
    <row r="354" spans="1:7">
      <c r="A354" s="3">
        <v>350</v>
      </c>
      <c r="B354" s="3" t="s">
        <v>470</v>
      </c>
      <c r="C354" s="5">
        <v>658.7</v>
      </c>
      <c r="D354" s="5">
        <v>453.83</v>
      </c>
      <c r="E354" s="6">
        <v>3.40241512216795e-5</v>
      </c>
      <c r="F354" s="6">
        <v>2.74143066064449e-5</v>
      </c>
      <c r="G354" s="8">
        <v>-0.311021709427661</v>
      </c>
    </row>
    <row r="355" spans="1:7">
      <c r="A355" s="3">
        <v>351</v>
      </c>
      <c r="B355" s="3" t="s">
        <v>471</v>
      </c>
      <c r="C355" s="5">
        <v>0</v>
      </c>
      <c r="D355" s="5">
        <v>451.89</v>
      </c>
      <c r="E355" s="6">
        <v>0</v>
      </c>
      <c r="F355" s="6">
        <v>2.72971178908102e-5</v>
      </c>
      <c r="G355" s="3"/>
    </row>
    <row r="356" spans="1:7">
      <c r="A356" s="3">
        <v>352</v>
      </c>
      <c r="B356" s="3" t="s">
        <v>472</v>
      </c>
      <c r="C356" s="5">
        <v>170.91</v>
      </c>
      <c r="D356" s="5">
        <v>450.61</v>
      </c>
      <c r="E356" s="6">
        <v>8.82809729056815e-6</v>
      </c>
      <c r="F356" s="6">
        <v>2.7219797501113e-5</v>
      </c>
      <c r="G356" s="7">
        <v>1.63653384822421</v>
      </c>
    </row>
    <row r="357" spans="1:7">
      <c r="A357" s="3">
        <v>353</v>
      </c>
      <c r="B357" s="3" t="s">
        <v>473</v>
      </c>
      <c r="C357" s="5">
        <v>0</v>
      </c>
      <c r="D357" s="5">
        <v>449.18</v>
      </c>
      <c r="E357" s="6">
        <v>0</v>
      </c>
      <c r="F357" s="6">
        <v>2.71334161282483e-5</v>
      </c>
      <c r="G357" s="3"/>
    </row>
    <row r="358" spans="1:7">
      <c r="A358" s="3">
        <v>354</v>
      </c>
      <c r="B358" s="3" t="s">
        <v>474</v>
      </c>
      <c r="C358" s="5">
        <v>0</v>
      </c>
      <c r="D358" s="5">
        <v>447.93</v>
      </c>
      <c r="E358" s="6">
        <v>0</v>
      </c>
      <c r="F358" s="6">
        <v>2.70579079351846e-5</v>
      </c>
      <c r="G358" s="3"/>
    </row>
    <row r="359" spans="1:7">
      <c r="A359" s="3">
        <v>355</v>
      </c>
      <c r="B359" s="3" t="s">
        <v>475</v>
      </c>
      <c r="C359" s="5">
        <v>625.83</v>
      </c>
      <c r="D359" s="5">
        <v>431.82</v>
      </c>
      <c r="E359" s="6">
        <v>3.23263011371849e-5</v>
      </c>
      <c r="F359" s="6">
        <v>2.60847583429809e-5</v>
      </c>
      <c r="G359" s="8">
        <v>-0.310004314270649</v>
      </c>
    </row>
    <row r="360" spans="1:7">
      <c r="A360" s="3">
        <v>356</v>
      </c>
      <c r="B360" s="3" t="s">
        <v>476</v>
      </c>
      <c r="C360" s="5">
        <v>489.26</v>
      </c>
      <c r="D360" s="5">
        <v>431.76</v>
      </c>
      <c r="E360" s="6">
        <v>2.52719845555168e-5</v>
      </c>
      <c r="F360" s="6">
        <v>2.60811339497138e-5</v>
      </c>
      <c r="G360" s="8">
        <v>-0.117524424641295</v>
      </c>
    </row>
    <row r="361" spans="1:7">
      <c r="A361" s="3">
        <v>357</v>
      </c>
      <c r="B361" s="3" t="s">
        <v>477</v>
      </c>
      <c r="C361" s="5">
        <v>0</v>
      </c>
      <c r="D361" s="5">
        <v>424.83</v>
      </c>
      <c r="E361" s="6">
        <v>0</v>
      </c>
      <c r="F361" s="6">
        <v>2.56625165273692e-5</v>
      </c>
      <c r="G361" s="3"/>
    </row>
    <row r="362" spans="1:7">
      <c r="A362" s="3">
        <v>358</v>
      </c>
      <c r="B362" s="3" t="s">
        <v>478</v>
      </c>
      <c r="C362" s="5">
        <v>0</v>
      </c>
      <c r="D362" s="5">
        <v>424.83</v>
      </c>
      <c r="E362" s="6">
        <v>0</v>
      </c>
      <c r="F362" s="6">
        <v>2.56625165273692e-5</v>
      </c>
      <c r="G362" s="3"/>
    </row>
    <row r="363" spans="1:7">
      <c r="A363" s="3">
        <v>359</v>
      </c>
      <c r="B363" s="3" t="s">
        <v>479</v>
      </c>
      <c r="C363" s="5">
        <v>3510.68</v>
      </c>
      <c r="D363" s="5">
        <v>419.97</v>
      </c>
      <c r="E363" s="6">
        <v>0.000181338860195727</v>
      </c>
      <c r="F363" s="6">
        <v>2.53689406727379e-5</v>
      </c>
      <c r="G363" s="8">
        <v>-0.880373602834778</v>
      </c>
    </row>
    <row r="364" spans="1:7">
      <c r="A364" s="3">
        <v>360</v>
      </c>
      <c r="B364" s="3" t="s">
        <v>480</v>
      </c>
      <c r="C364" s="5">
        <v>1919.87</v>
      </c>
      <c r="D364" s="5">
        <v>419.64</v>
      </c>
      <c r="E364" s="6">
        <v>9.91679781478151e-5</v>
      </c>
      <c r="F364" s="6">
        <v>2.53490065097691e-5</v>
      </c>
      <c r="G364" s="8">
        <v>-0.781422700495346</v>
      </c>
    </row>
    <row r="365" spans="1:7">
      <c r="A365" s="3">
        <v>361</v>
      </c>
      <c r="B365" s="3" t="s">
        <v>481</v>
      </c>
      <c r="C365" s="5">
        <v>356.89</v>
      </c>
      <c r="D365" s="5">
        <v>417.44</v>
      </c>
      <c r="E365" s="6">
        <v>1.84346126150071e-5</v>
      </c>
      <c r="F365" s="6">
        <v>2.52161120899772e-5</v>
      </c>
      <c r="G365" s="7">
        <v>0.16966011936451</v>
      </c>
    </row>
    <row r="366" spans="1:7">
      <c r="A366" s="3">
        <v>362</v>
      </c>
      <c r="B366" s="3" t="s">
        <v>482</v>
      </c>
      <c r="C366" s="5">
        <v>0</v>
      </c>
      <c r="D366" s="5">
        <v>414.31</v>
      </c>
      <c r="E366" s="6">
        <v>0</v>
      </c>
      <c r="F366" s="6">
        <v>2.50270395745459e-5</v>
      </c>
      <c r="G366" s="3"/>
    </row>
    <row r="367" spans="1:7">
      <c r="A367" s="3">
        <v>363</v>
      </c>
      <c r="B367" s="3" t="s">
        <v>483</v>
      </c>
      <c r="C367" s="5">
        <v>259.76</v>
      </c>
      <c r="D367" s="5">
        <v>410.14</v>
      </c>
      <c r="E367" s="6">
        <v>1.34175095207886e-5</v>
      </c>
      <c r="F367" s="6">
        <v>2.47751442424857e-5</v>
      </c>
      <c r="G367" s="7">
        <v>0.578919002155836</v>
      </c>
    </row>
    <row r="368" spans="1:7">
      <c r="A368" s="3">
        <v>364</v>
      </c>
      <c r="B368" s="3" t="s">
        <v>484</v>
      </c>
      <c r="C368" s="5">
        <v>194.95</v>
      </c>
      <c r="D368" s="5">
        <v>408.97</v>
      </c>
      <c r="E368" s="6">
        <v>1.00698470937702e-5</v>
      </c>
      <c r="F368" s="6">
        <v>2.47044685737782e-5</v>
      </c>
      <c r="G368" s="7">
        <v>1.09781995383432</v>
      </c>
    </row>
    <row r="369" spans="1:7">
      <c r="A369" s="3">
        <v>365</v>
      </c>
      <c r="B369" s="3" t="s">
        <v>485</v>
      </c>
      <c r="C369" s="5">
        <v>468</v>
      </c>
      <c r="D369" s="5">
        <v>408.49</v>
      </c>
      <c r="E369" s="6">
        <v>2.41738314433672e-5</v>
      </c>
      <c r="F369" s="6">
        <v>2.46754734276418e-5</v>
      </c>
      <c r="G369" s="8">
        <v>-0.12715811965812</v>
      </c>
    </row>
    <row r="370" spans="1:7">
      <c r="A370" s="3">
        <v>366</v>
      </c>
      <c r="B370" s="3" t="s">
        <v>486</v>
      </c>
      <c r="C370" s="5">
        <v>192.36</v>
      </c>
      <c r="D370" s="5">
        <v>405.86</v>
      </c>
      <c r="E370" s="6">
        <v>9.93606456505582e-6</v>
      </c>
      <c r="F370" s="6">
        <v>2.45166041894359e-5</v>
      </c>
      <c r="G370" s="7">
        <v>1.1098981077147</v>
      </c>
    </row>
    <row r="371" spans="1:7">
      <c r="A371" s="3">
        <v>367</v>
      </c>
      <c r="B371" s="3" t="s">
        <v>487</v>
      </c>
      <c r="C371" s="5">
        <v>928.35</v>
      </c>
      <c r="D371" s="5">
        <v>405.37</v>
      </c>
      <c r="E371" s="6">
        <v>4.79525137189102e-5</v>
      </c>
      <c r="F371" s="6">
        <v>2.4487004977755e-5</v>
      </c>
      <c r="G371" s="8">
        <v>-0.563343566542791</v>
      </c>
    </row>
    <row r="372" spans="1:7">
      <c r="A372" s="3">
        <v>368</v>
      </c>
      <c r="B372" s="3" t="s">
        <v>488</v>
      </c>
      <c r="C372" s="5">
        <v>359.82</v>
      </c>
      <c r="D372" s="5">
        <v>403.8</v>
      </c>
      <c r="E372" s="6">
        <v>1.85859573289581e-5</v>
      </c>
      <c r="F372" s="6">
        <v>2.43921666872671e-5</v>
      </c>
      <c r="G372" s="7">
        <v>0.122227780556945</v>
      </c>
    </row>
    <row r="373" spans="1:7">
      <c r="A373" s="3">
        <v>369</v>
      </c>
      <c r="B373" s="3" t="s">
        <v>489</v>
      </c>
      <c r="C373" s="5">
        <v>474</v>
      </c>
      <c r="D373" s="5">
        <v>394</v>
      </c>
      <c r="E373" s="6">
        <v>2.44837523593078e-5</v>
      </c>
      <c r="F373" s="6">
        <v>2.38001824536485e-5</v>
      </c>
      <c r="G373" s="8">
        <v>-0.168776371308017</v>
      </c>
    </row>
    <row r="374" spans="1:7">
      <c r="A374" s="3">
        <v>370</v>
      </c>
      <c r="B374" s="3" t="s">
        <v>490</v>
      </c>
      <c r="C374" s="5">
        <v>147.94</v>
      </c>
      <c r="D374" s="5">
        <v>391.71</v>
      </c>
      <c r="E374" s="6">
        <v>7.64161671737553e-6</v>
      </c>
      <c r="F374" s="6">
        <v>2.36618514439559e-5</v>
      </c>
      <c r="G374" s="7">
        <v>1.64776260646208</v>
      </c>
    </row>
    <row r="375" spans="1:7">
      <c r="A375" s="3">
        <v>371</v>
      </c>
      <c r="B375" s="3" t="s">
        <v>491</v>
      </c>
      <c r="C375" s="5">
        <v>1501.96</v>
      </c>
      <c r="D375" s="5">
        <v>387.13</v>
      </c>
      <c r="E375" s="6">
        <v>7.7581469817692e-5</v>
      </c>
      <c r="F375" s="6">
        <v>2.33851894245709e-5</v>
      </c>
      <c r="G375" s="8">
        <v>-0.742250126501372</v>
      </c>
    </row>
    <row r="376" spans="1:7">
      <c r="A376" s="3">
        <v>372</v>
      </c>
      <c r="B376" s="3" t="s">
        <v>492</v>
      </c>
      <c r="C376" s="5">
        <v>0</v>
      </c>
      <c r="D376" s="5">
        <v>385.84</v>
      </c>
      <c r="E376" s="6">
        <v>0</v>
      </c>
      <c r="F376" s="6">
        <v>2.33072649693292e-5</v>
      </c>
      <c r="G376" s="3"/>
    </row>
    <row r="377" spans="1:7">
      <c r="A377" s="3">
        <v>373</v>
      </c>
      <c r="B377" s="3" t="s">
        <v>493</v>
      </c>
      <c r="C377" s="5">
        <v>0</v>
      </c>
      <c r="D377" s="5">
        <v>378.85</v>
      </c>
      <c r="E377" s="6">
        <v>0</v>
      </c>
      <c r="F377" s="6">
        <v>2.28850231537176e-5</v>
      </c>
      <c r="G377" s="3"/>
    </row>
    <row r="378" spans="1:7">
      <c r="A378" s="3">
        <v>374</v>
      </c>
      <c r="B378" s="3" t="s">
        <v>494</v>
      </c>
      <c r="C378" s="5">
        <v>2312.01</v>
      </c>
      <c r="D378" s="5">
        <v>377.25</v>
      </c>
      <c r="E378" s="6">
        <v>0.000119423376143973</v>
      </c>
      <c r="F378" s="6">
        <v>2.27883726665961e-5</v>
      </c>
      <c r="G378" s="8">
        <v>-0.836830290526425</v>
      </c>
    </row>
    <row r="379" spans="1:7">
      <c r="A379" s="3">
        <v>375</v>
      </c>
      <c r="B379" s="3" t="s">
        <v>495</v>
      </c>
      <c r="C379" s="5">
        <v>70.9</v>
      </c>
      <c r="D379" s="5">
        <v>376.07</v>
      </c>
      <c r="E379" s="6">
        <v>3.66223215669816e-6</v>
      </c>
      <c r="F379" s="6">
        <v>2.27170929323441e-5</v>
      </c>
      <c r="G379" s="7">
        <v>4.30423131170663</v>
      </c>
    </row>
    <row r="380" spans="1:7">
      <c r="A380" s="3">
        <v>376</v>
      </c>
      <c r="B380" s="3" t="s">
        <v>496</v>
      </c>
      <c r="C380" s="5">
        <v>449.82</v>
      </c>
      <c r="D380" s="5">
        <v>374.85</v>
      </c>
      <c r="E380" s="6">
        <v>2.32347710680672e-5</v>
      </c>
      <c r="F380" s="6">
        <v>2.2643396935914e-5</v>
      </c>
      <c r="G380" s="8">
        <v>-0.166666666666667</v>
      </c>
    </row>
    <row r="381" spans="1:7">
      <c r="A381" s="3">
        <v>377</v>
      </c>
      <c r="B381" s="3" t="s">
        <v>497</v>
      </c>
      <c r="C381" s="5">
        <v>534.13</v>
      </c>
      <c r="D381" s="5">
        <v>374.65</v>
      </c>
      <c r="E381" s="6">
        <v>2.75896764718926e-5</v>
      </c>
      <c r="F381" s="6">
        <v>2.26313156250238e-5</v>
      </c>
      <c r="G381" s="8">
        <v>-0.298578997622302</v>
      </c>
    </row>
    <row r="382" spans="1:7">
      <c r="A382" s="3">
        <v>378</v>
      </c>
      <c r="B382" s="3" t="s">
        <v>498</v>
      </c>
      <c r="C382" s="5">
        <v>0</v>
      </c>
      <c r="D382" s="5">
        <v>367.44</v>
      </c>
      <c r="E382" s="6">
        <v>0</v>
      </c>
      <c r="F382" s="6">
        <v>2.2195784367433e-5</v>
      </c>
      <c r="G382" s="3"/>
    </row>
    <row r="383" spans="1:7">
      <c r="A383" s="3">
        <v>379</v>
      </c>
      <c r="B383" s="3" t="s">
        <v>499</v>
      </c>
      <c r="C383" s="5">
        <v>0</v>
      </c>
      <c r="D383" s="5">
        <v>360.88</v>
      </c>
      <c r="E383" s="6">
        <v>0</v>
      </c>
      <c r="F383" s="6">
        <v>2.17995173702352e-5</v>
      </c>
      <c r="G383" s="3"/>
    </row>
    <row r="384" spans="1:7">
      <c r="A384" s="3">
        <v>380</v>
      </c>
      <c r="B384" s="3" t="s">
        <v>500</v>
      </c>
      <c r="C384" s="5">
        <v>425.73</v>
      </c>
      <c r="D384" s="5">
        <v>359.05</v>
      </c>
      <c r="E384" s="6">
        <v>2.19904385905657e-5</v>
      </c>
      <c r="F384" s="6">
        <v>2.168897337559e-5</v>
      </c>
      <c r="G384" s="8">
        <v>-0.15662509102013</v>
      </c>
    </row>
    <row r="385" spans="1:7">
      <c r="A385" s="3">
        <v>381</v>
      </c>
      <c r="B385" s="3" t="s">
        <v>501</v>
      </c>
      <c r="C385" s="5">
        <v>0</v>
      </c>
      <c r="D385" s="5">
        <v>356</v>
      </c>
      <c r="E385" s="6">
        <v>0</v>
      </c>
      <c r="F385" s="6">
        <v>2.15047333845148e-5</v>
      </c>
      <c r="G385" s="3"/>
    </row>
    <row r="386" spans="1:7">
      <c r="A386" s="3">
        <v>382</v>
      </c>
      <c r="B386" s="3" t="s">
        <v>502</v>
      </c>
      <c r="C386" s="5">
        <v>0</v>
      </c>
      <c r="D386" s="5">
        <v>353.65</v>
      </c>
      <c r="E386" s="6">
        <v>0</v>
      </c>
      <c r="F386" s="6">
        <v>2.13627779815553e-5</v>
      </c>
      <c r="G386" s="3"/>
    </row>
    <row r="387" spans="1:7">
      <c r="A387" s="3">
        <v>383</v>
      </c>
      <c r="B387" s="3" t="s">
        <v>503</v>
      </c>
      <c r="C387" s="5">
        <v>15162.16</v>
      </c>
      <c r="D387" s="5">
        <v>343.19</v>
      </c>
      <c r="E387" s="6">
        <v>0.000783178419139669</v>
      </c>
      <c r="F387" s="6">
        <v>2.0730925421999e-5</v>
      </c>
      <c r="G387" s="8">
        <v>-0.977365362191139</v>
      </c>
    </row>
    <row r="388" spans="1:7">
      <c r="A388" s="3">
        <v>384</v>
      </c>
      <c r="B388" s="3" t="s">
        <v>504</v>
      </c>
      <c r="C388" s="5">
        <v>41.66</v>
      </c>
      <c r="D388" s="5">
        <v>339.9</v>
      </c>
      <c r="E388" s="6">
        <v>2.1518842263476e-6</v>
      </c>
      <c r="F388" s="6">
        <v>2.05321878578556e-5</v>
      </c>
      <c r="G388" s="7">
        <v>7.15890542486798</v>
      </c>
    </row>
    <row r="389" spans="1:7">
      <c r="A389" s="3">
        <v>385</v>
      </c>
      <c r="B389" s="3" t="s">
        <v>505</v>
      </c>
      <c r="C389" s="5">
        <v>692.92</v>
      </c>
      <c r="D389" s="5">
        <v>337.69</v>
      </c>
      <c r="E389" s="6">
        <v>3.57917335122607e-5</v>
      </c>
      <c r="F389" s="6">
        <v>2.03986893725191e-5</v>
      </c>
      <c r="G389" s="8">
        <v>-0.51265658373261</v>
      </c>
    </row>
    <row r="390" spans="1:7">
      <c r="A390" s="3">
        <v>386</v>
      </c>
      <c r="B390" s="3" t="s">
        <v>506</v>
      </c>
      <c r="C390" s="5">
        <v>189.81</v>
      </c>
      <c r="D390" s="5">
        <v>331.74</v>
      </c>
      <c r="E390" s="6">
        <v>9.80434817578106e-6</v>
      </c>
      <c r="F390" s="6">
        <v>2.00392703735364e-5</v>
      </c>
      <c r="G390" s="7">
        <v>0.747747747747748</v>
      </c>
    </row>
    <row r="391" spans="1:7">
      <c r="A391" s="3">
        <v>387</v>
      </c>
      <c r="B391" s="3" t="s">
        <v>507</v>
      </c>
      <c r="C391" s="5">
        <v>0</v>
      </c>
      <c r="D391" s="5">
        <v>329.96</v>
      </c>
      <c r="E391" s="6">
        <v>0</v>
      </c>
      <c r="F391" s="6">
        <v>1.99317467066138e-5</v>
      </c>
      <c r="G391" s="3"/>
    </row>
    <row r="392" spans="1:7">
      <c r="A392" s="3">
        <v>388</v>
      </c>
      <c r="B392" s="3" t="s">
        <v>508</v>
      </c>
      <c r="C392" s="5">
        <v>717</v>
      </c>
      <c r="D392" s="5">
        <v>327</v>
      </c>
      <c r="E392" s="6">
        <v>3.70355494549024e-5</v>
      </c>
      <c r="F392" s="6">
        <v>1.97529433054392e-5</v>
      </c>
      <c r="G392" s="8">
        <v>-0.543933054393305</v>
      </c>
    </row>
    <row r="393" spans="1:7">
      <c r="A393" s="3">
        <v>389</v>
      </c>
      <c r="B393" s="3" t="s">
        <v>509</v>
      </c>
      <c r="C393" s="5">
        <v>348.18</v>
      </c>
      <c r="D393" s="5">
        <v>326.46</v>
      </c>
      <c r="E393" s="6">
        <v>1.79847107520333e-5</v>
      </c>
      <c r="F393" s="6">
        <v>1.97203237660357e-5</v>
      </c>
      <c r="G393" s="8">
        <v>-0.0623815267964847</v>
      </c>
    </row>
    <row r="394" spans="1:7">
      <c r="A394" s="3">
        <v>390</v>
      </c>
      <c r="B394" s="3" t="s">
        <v>510</v>
      </c>
      <c r="C394" s="5">
        <v>89.49</v>
      </c>
      <c r="D394" s="5">
        <v>321.54</v>
      </c>
      <c r="E394" s="6">
        <v>4.62247046125413e-6</v>
      </c>
      <c r="F394" s="6">
        <v>1.94231235181374e-5</v>
      </c>
      <c r="G394" s="7">
        <v>2.59302715387194</v>
      </c>
    </row>
    <row r="395" spans="1:7">
      <c r="A395" s="3">
        <v>391</v>
      </c>
      <c r="B395" s="3" t="s">
        <v>511</v>
      </c>
      <c r="C395" s="5">
        <v>90.93</v>
      </c>
      <c r="D395" s="5">
        <v>320.88</v>
      </c>
      <c r="E395" s="6">
        <v>4.69685148107988e-6</v>
      </c>
      <c r="F395" s="6">
        <v>1.93832551921998e-5</v>
      </c>
      <c r="G395" s="7">
        <v>2.52886836027714</v>
      </c>
    </row>
    <row r="396" spans="1:7">
      <c r="A396" s="3">
        <v>392</v>
      </c>
      <c r="B396" s="3" t="s">
        <v>512</v>
      </c>
      <c r="C396" s="5">
        <v>0</v>
      </c>
      <c r="D396" s="5">
        <v>314.91</v>
      </c>
      <c r="E396" s="6">
        <v>0</v>
      </c>
      <c r="F396" s="6">
        <v>1.9022628062128e-5</v>
      </c>
      <c r="G396" s="3"/>
    </row>
    <row r="397" spans="1:7">
      <c r="A397" s="3">
        <v>393</v>
      </c>
      <c r="B397" s="3" t="s">
        <v>513</v>
      </c>
      <c r="C397" s="5">
        <v>0</v>
      </c>
      <c r="D397" s="5">
        <v>311</v>
      </c>
      <c r="E397" s="6">
        <v>0</v>
      </c>
      <c r="F397" s="6">
        <v>1.87864384342251e-5</v>
      </c>
      <c r="G397" s="3"/>
    </row>
    <row r="398" spans="1:7">
      <c r="A398" s="3">
        <v>394</v>
      </c>
      <c r="B398" s="3" t="s">
        <v>514</v>
      </c>
      <c r="C398" s="5">
        <v>650.4</v>
      </c>
      <c r="D398" s="5">
        <v>308</v>
      </c>
      <c r="E398" s="6">
        <v>3.35954272879616e-5</v>
      </c>
      <c r="F398" s="6">
        <v>1.86052187708724e-5</v>
      </c>
      <c r="G398" s="8">
        <v>-0.526445264452645</v>
      </c>
    </row>
    <row r="399" spans="1:7">
      <c r="A399" s="3">
        <v>395</v>
      </c>
      <c r="B399" s="3" t="s">
        <v>515</v>
      </c>
      <c r="C399" s="5">
        <v>0</v>
      </c>
      <c r="D399" s="5">
        <v>299</v>
      </c>
      <c r="E399" s="6">
        <v>0</v>
      </c>
      <c r="F399" s="6">
        <v>1.80615597808144e-5</v>
      </c>
      <c r="G399" s="3"/>
    </row>
    <row r="400" spans="1:7">
      <c r="A400" s="3">
        <v>396</v>
      </c>
      <c r="B400" s="3" t="s">
        <v>516</v>
      </c>
      <c r="C400" s="5">
        <v>0</v>
      </c>
      <c r="D400" s="5">
        <v>296.2</v>
      </c>
      <c r="E400" s="6">
        <v>0</v>
      </c>
      <c r="F400" s="6">
        <v>1.7892421428352e-5</v>
      </c>
      <c r="G400" s="3"/>
    </row>
    <row r="401" spans="1:7">
      <c r="A401" s="3">
        <v>397</v>
      </c>
      <c r="B401" s="3" t="s">
        <v>517</v>
      </c>
      <c r="C401" s="5">
        <v>1781.83</v>
      </c>
      <c r="D401" s="5">
        <v>294.96</v>
      </c>
      <c r="E401" s="6">
        <v>9.20377309417416e-5</v>
      </c>
      <c r="F401" s="6">
        <v>1.78175173008329e-5</v>
      </c>
      <c r="G401" s="8">
        <v>-0.83446232244378</v>
      </c>
    </row>
    <row r="402" spans="1:7">
      <c r="A402" s="3">
        <v>398</v>
      </c>
      <c r="B402" s="3" t="s">
        <v>518</v>
      </c>
      <c r="C402" s="5">
        <v>0</v>
      </c>
      <c r="D402" s="5">
        <v>294.92</v>
      </c>
      <c r="E402" s="6">
        <v>0</v>
      </c>
      <c r="F402" s="6">
        <v>1.78151010386548e-5</v>
      </c>
      <c r="G402" s="3"/>
    </row>
    <row r="403" spans="1:7">
      <c r="A403" s="3">
        <v>399</v>
      </c>
      <c r="B403" s="3" t="s">
        <v>519</v>
      </c>
      <c r="C403" s="5">
        <v>0</v>
      </c>
      <c r="D403" s="5">
        <v>287.68</v>
      </c>
      <c r="E403" s="6">
        <v>0</v>
      </c>
      <c r="F403" s="6">
        <v>1.73777575844304e-5</v>
      </c>
      <c r="G403" s="3"/>
    </row>
    <row r="404" spans="1:7">
      <c r="A404" s="3">
        <v>400</v>
      </c>
      <c r="B404" s="3" t="s">
        <v>520</v>
      </c>
      <c r="C404" s="5">
        <v>253.03</v>
      </c>
      <c r="D404" s="5">
        <v>284.85</v>
      </c>
      <c r="E404" s="6">
        <v>1.30698815600752e-5</v>
      </c>
      <c r="F404" s="6">
        <v>1.72068070353344e-5</v>
      </c>
      <c r="G404" s="7">
        <v>0.12575583922855</v>
      </c>
    </row>
    <row r="405" spans="1:7">
      <c r="A405" s="3">
        <v>401</v>
      </c>
      <c r="B405" s="3" t="s">
        <v>521</v>
      </c>
      <c r="C405" s="5">
        <v>0</v>
      </c>
      <c r="D405" s="5">
        <v>283.74</v>
      </c>
      <c r="E405" s="6">
        <v>0</v>
      </c>
      <c r="F405" s="6">
        <v>1.71397557598939e-5</v>
      </c>
      <c r="G405" s="3"/>
    </row>
    <row r="406" spans="1:7">
      <c r="A406" s="3">
        <v>402</v>
      </c>
      <c r="B406" s="3" t="s">
        <v>522</v>
      </c>
      <c r="C406" s="5">
        <v>0</v>
      </c>
      <c r="D406" s="5">
        <v>283.15</v>
      </c>
      <c r="E406" s="6">
        <v>0</v>
      </c>
      <c r="F406" s="6">
        <v>1.71041158927679e-5</v>
      </c>
      <c r="G406" s="3"/>
    </row>
    <row r="407" spans="1:7">
      <c r="A407" s="3">
        <v>403</v>
      </c>
      <c r="B407" s="3" t="s">
        <v>523</v>
      </c>
      <c r="C407" s="5">
        <v>178.22</v>
      </c>
      <c r="D407" s="5">
        <v>278.9</v>
      </c>
      <c r="E407" s="6">
        <v>9.20568427315579e-6</v>
      </c>
      <c r="F407" s="6">
        <v>1.68473880363517e-5</v>
      </c>
      <c r="G407" s="7">
        <v>0.564919762091797</v>
      </c>
    </row>
    <row r="408" spans="1:7">
      <c r="A408" s="3">
        <v>404</v>
      </c>
      <c r="B408" s="3" t="s">
        <v>524</v>
      </c>
      <c r="C408" s="5">
        <v>1858.86</v>
      </c>
      <c r="D408" s="5">
        <v>275.77</v>
      </c>
      <c r="E408" s="6">
        <v>9.6016598967559e-5</v>
      </c>
      <c r="F408" s="6">
        <v>1.66583155209204e-5</v>
      </c>
      <c r="G408" s="8">
        <v>-0.85164563226924</v>
      </c>
    </row>
    <row r="409" spans="1:7">
      <c r="A409" s="3">
        <v>405</v>
      </c>
      <c r="B409" s="3" t="s">
        <v>525</v>
      </c>
      <c r="C409" s="5">
        <v>0</v>
      </c>
      <c r="D409" s="5">
        <v>269.73</v>
      </c>
      <c r="E409" s="6">
        <v>0</v>
      </c>
      <c r="F409" s="6">
        <v>1.62934599320371e-5</v>
      </c>
      <c r="G409" s="3"/>
    </row>
    <row r="410" spans="1:7">
      <c r="A410" s="3">
        <v>406</v>
      </c>
      <c r="B410" s="3" t="s">
        <v>526</v>
      </c>
      <c r="C410" s="5">
        <v>25.74</v>
      </c>
      <c r="D410" s="5">
        <v>269.28</v>
      </c>
      <c r="E410" s="6">
        <v>1.3295607293852e-6</v>
      </c>
      <c r="F410" s="6">
        <v>1.62662769825342e-5</v>
      </c>
      <c r="G410" s="7">
        <v>9.46153846153846</v>
      </c>
    </row>
    <row r="411" spans="1:7">
      <c r="A411" s="3">
        <v>407</v>
      </c>
      <c r="B411" s="3" t="s">
        <v>527</v>
      </c>
      <c r="C411" s="5">
        <v>222.31</v>
      </c>
      <c r="D411" s="5">
        <v>268.66</v>
      </c>
      <c r="E411" s="6">
        <v>1.14830864704593e-5</v>
      </c>
      <c r="F411" s="6">
        <v>1.62288249187746e-5</v>
      </c>
      <c r="G411" s="7">
        <v>0.208492645405065</v>
      </c>
    </row>
    <row r="412" spans="1:7">
      <c r="A412" s="3">
        <v>408</v>
      </c>
      <c r="B412" s="3" t="s">
        <v>528</v>
      </c>
      <c r="C412" s="5">
        <v>629.87</v>
      </c>
      <c r="D412" s="5">
        <v>268.45</v>
      </c>
      <c r="E412" s="6">
        <v>3.25349812205849e-5</v>
      </c>
      <c r="F412" s="6">
        <v>1.62161395423399e-5</v>
      </c>
      <c r="G412" s="8">
        <v>-0.573800943051741</v>
      </c>
    </row>
    <row r="413" spans="1:7">
      <c r="A413" s="3">
        <v>409</v>
      </c>
      <c r="B413" s="3" t="s">
        <v>529</v>
      </c>
      <c r="C413" s="5">
        <v>3052.75</v>
      </c>
      <c r="D413" s="5">
        <v>268.41</v>
      </c>
      <c r="E413" s="6">
        <v>0.000157685179356281</v>
      </c>
      <c r="F413" s="6">
        <v>1.62137232801619e-5</v>
      </c>
      <c r="G413" s="8">
        <v>-0.912075997051839</v>
      </c>
    </row>
    <row r="414" spans="1:7">
      <c r="A414" s="3">
        <v>410</v>
      </c>
      <c r="B414" s="3" t="s">
        <v>530</v>
      </c>
      <c r="C414" s="5">
        <v>0</v>
      </c>
      <c r="D414" s="5">
        <v>267.35</v>
      </c>
      <c r="E414" s="6">
        <v>0</v>
      </c>
      <c r="F414" s="6">
        <v>1.61496923324439e-5</v>
      </c>
      <c r="G414" s="3"/>
    </row>
    <row r="415" spans="1:7">
      <c r="A415" s="3">
        <v>411</v>
      </c>
      <c r="B415" s="3" t="s">
        <v>531</v>
      </c>
      <c r="C415" s="5">
        <v>913.14</v>
      </c>
      <c r="D415" s="5">
        <v>265.9</v>
      </c>
      <c r="E415" s="6">
        <v>4.71668641970008e-5</v>
      </c>
      <c r="F415" s="6">
        <v>1.60621028284902e-5</v>
      </c>
      <c r="G415" s="8">
        <v>-0.708806973738967</v>
      </c>
    </row>
    <row r="416" spans="1:7">
      <c r="A416" s="3">
        <v>412</v>
      </c>
      <c r="B416" s="3" t="s">
        <v>532</v>
      </c>
      <c r="C416" s="5">
        <v>0</v>
      </c>
      <c r="D416" s="5">
        <v>251.96</v>
      </c>
      <c r="E416" s="6">
        <v>0</v>
      </c>
      <c r="F416" s="6">
        <v>1.52200354594448e-5</v>
      </c>
      <c r="G416" s="3"/>
    </row>
    <row r="417" spans="1:7">
      <c r="A417" s="3">
        <v>413</v>
      </c>
      <c r="B417" s="3" t="s">
        <v>533</v>
      </c>
      <c r="C417" s="5">
        <v>1870.05</v>
      </c>
      <c r="D417" s="5">
        <v>250.6</v>
      </c>
      <c r="E417" s="6">
        <v>9.65946014757882e-5</v>
      </c>
      <c r="F417" s="6">
        <v>1.51378825453916e-5</v>
      </c>
      <c r="G417" s="8">
        <v>-0.865992887890698</v>
      </c>
    </row>
    <row r="418" spans="1:7">
      <c r="A418" s="3">
        <v>414</v>
      </c>
      <c r="B418" s="3" t="s">
        <v>534</v>
      </c>
      <c r="C418" s="5">
        <v>466.97</v>
      </c>
      <c r="D418" s="5">
        <v>245.57</v>
      </c>
      <c r="E418" s="6">
        <v>2.41206283527974e-5</v>
      </c>
      <c r="F418" s="6">
        <v>1.48340375765037e-5</v>
      </c>
      <c r="G418" s="8">
        <v>-0.474120393173009</v>
      </c>
    </row>
    <row r="419" spans="1:7">
      <c r="A419" s="3">
        <v>415</v>
      </c>
      <c r="B419" s="3" t="s">
        <v>535</v>
      </c>
      <c r="C419" s="5">
        <v>1503.8</v>
      </c>
      <c r="D419" s="5">
        <v>244.58</v>
      </c>
      <c r="E419" s="6">
        <v>7.76765122319138e-5</v>
      </c>
      <c r="F419" s="6">
        <v>1.47742350875973e-5</v>
      </c>
      <c r="G419" s="8">
        <v>-0.837358691315334</v>
      </c>
    </row>
    <row r="420" spans="1:7">
      <c r="A420" s="3">
        <v>416</v>
      </c>
      <c r="B420" s="3" t="s">
        <v>536</v>
      </c>
      <c r="C420" s="5">
        <v>0</v>
      </c>
      <c r="D420" s="5">
        <v>242.41</v>
      </c>
      <c r="E420" s="6">
        <v>0</v>
      </c>
      <c r="F420" s="6">
        <v>1.46431528644389e-5</v>
      </c>
      <c r="G420" s="3"/>
    </row>
    <row r="421" spans="1:7">
      <c r="A421" s="3">
        <v>417</v>
      </c>
      <c r="B421" s="3" t="s">
        <v>537</v>
      </c>
      <c r="C421" s="5">
        <v>1570.7</v>
      </c>
      <c r="D421" s="5">
        <v>239.97</v>
      </c>
      <c r="E421" s="6">
        <v>8.11321304446515e-5</v>
      </c>
      <c r="F421" s="6">
        <v>1.44957608715787e-5</v>
      </c>
      <c r="G421" s="8">
        <v>-0.847220984274527</v>
      </c>
    </row>
    <row r="422" spans="1:7">
      <c r="A422" s="3">
        <v>418</v>
      </c>
      <c r="B422" s="3" t="s">
        <v>538</v>
      </c>
      <c r="C422" s="5">
        <v>204.97</v>
      </c>
      <c r="D422" s="5">
        <v>239.96</v>
      </c>
      <c r="E422" s="6">
        <v>1.0587415023391e-5</v>
      </c>
      <c r="F422" s="6">
        <v>1.44951568060342e-5</v>
      </c>
      <c r="G422" s="7">
        <v>0.170707908474411</v>
      </c>
    </row>
    <row r="423" spans="1:7">
      <c r="A423" s="3">
        <v>419</v>
      </c>
      <c r="B423" s="3" t="s">
        <v>539</v>
      </c>
      <c r="C423" s="5">
        <v>269.91</v>
      </c>
      <c r="D423" s="5">
        <v>237.08</v>
      </c>
      <c r="E423" s="6">
        <v>1.39417924035881e-5</v>
      </c>
      <c r="F423" s="6">
        <v>1.43211859292157e-5</v>
      </c>
      <c r="G423" s="8">
        <v>-0.121633136971583</v>
      </c>
    </row>
    <row r="424" spans="1:7">
      <c r="A424" s="3">
        <v>420</v>
      </c>
      <c r="B424" s="3" t="s">
        <v>540</v>
      </c>
      <c r="C424" s="5">
        <v>0</v>
      </c>
      <c r="D424" s="5">
        <v>233.97</v>
      </c>
      <c r="E424" s="6">
        <v>0</v>
      </c>
      <c r="F424" s="6">
        <v>1.41333215448734e-5</v>
      </c>
      <c r="G424" s="3"/>
    </row>
    <row r="425" spans="1:7">
      <c r="A425" s="3">
        <v>421</v>
      </c>
      <c r="B425" s="3" t="s">
        <v>541</v>
      </c>
      <c r="C425" s="5">
        <v>554.92</v>
      </c>
      <c r="D425" s="5">
        <v>233.53</v>
      </c>
      <c r="E425" s="6">
        <v>2.86635524456268e-5</v>
      </c>
      <c r="F425" s="6">
        <v>1.4106742660915e-5</v>
      </c>
      <c r="G425" s="8">
        <v>-0.579164564261515</v>
      </c>
    </row>
    <row r="426" spans="1:7">
      <c r="A426" s="3">
        <v>422</v>
      </c>
      <c r="B426" s="3" t="s">
        <v>542</v>
      </c>
      <c r="C426" s="5">
        <v>329.9</v>
      </c>
      <c r="D426" s="5">
        <v>230.25</v>
      </c>
      <c r="E426" s="6">
        <v>1.70404850281343e-5</v>
      </c>
      <c r="F426" s="6">
        <v>1.39086091623161e-5</v>
      </c>
      <c r="G426" s="8">
        <v>-0.302061230675963</v>
      </c>
    </row>
    <row r="427" spans="1:7">
      <c r="A427" s="3">
        <v>423</v>
      </c>
      <c r="B427" s="3" t="s">
        <v>543</v>
      </c>
      <c r="C427" s="5">
        <v>97.9</v>
      </c>
      <c r="D427" s="5">
        <v>228.85</v>
      </c>
      <c r="E427" s="6">
        <v>5.05687627843088e-6</v>
      </c>
      <c r="F427" s="6">
        <v>1.38240399860849e-5</v>
      </c>
      <c r="G427" s="7">
        <v>1.33758937691522</v>
      </c>
    </row>
    <row r="428" spans="1:7">
      <c r="A428" s="3">
        <v>424</v>
      </c>
      <c r="B428" s="3" t="s">
        <v>544</v>
      </c>
      <c r="C428" s="5">
        <v>0</v>
      </c>
      <c r="D428" s="5">
        <v>220.92</v>
      </c>
      <c r="E428" s="6">
        <v>0</v>
      </c>
      <c r="F428" s="6">
        <v>1.33450160092894e-5</v>
      </c>
      <c r="G428" s="3"/>
    </row>
    <row r="429" spans="1:7">
      <c r="A429" s="3">
        <v>425</v>
      </c>
      <c r="B429" s="3" t="s">
        <v>545</v>
      </c>
      <c r="C429" s="5">
        <v>300.38</v>
      </c>
      <c r="D429" s="5">
        <v>215.76</v>
      </c>
      <c r="E429" s="6">
        <v>1.55156741217065e-5</v>
      </c>
      <c r="F429" s="6">
        <v>1.30333181883228e-5</v>
      </c>
      <c r="G429" s="8">
        <v>-0.281709834210001</v>
      </c>
    </row>
    <row r="430" spans="1:7">
      <c r="A430" s="3">
        <v>426</v>
      </c>
      <c r="B430" s="3" t="s">
        <v>546</v>
      </c>
      <c r="C430" s="5">
        <v>275.77</v>
      </c>
      <c r="D430" s="5">
        <v>211.17</v>
      </c>
      <c r="E430" s="6">
        <v>1.42444818314901e-5</v>
      </c>
      <c r="F430" s="6">
        <v>1.27560521033933e-5</v>
      </c>
      <c r="G430" s="8">
        <v>-0.234253181999492</v>
      </c>
    </row>
    <row r="431" spans="1:7">
      <c r="A431" s="3">
        <v>427</v>
      </c>
      <c r="B431" s="3" t="s">
        <v>547</v>
      </c>
      <c r="C431" s="5">
        <v>963.95</v>
      </c>
      <c r="D431" s="5">
        <v>209.78</v>
      </c>
      <c r="E431" s="6">
        <v>4.97913778201578e-5</v>
      </c>
      <c r="F431" s="6">
        <v>1.26720869927065e-5</v>
      </c>
      <c r="G431" s="8">
        <v>-0.782374604491934</v>
      </c>
    </row>
    <row r="432" spans="1:7">
      <c r="A432" s="3">
        <v>428</v>
      </c>
      <c r="B432" s="3" t="s">
        <v>548</v>
      </c>
      <c r="C432" s="5">
        <v>90.35</v>
      </c>
      <c r="D432" s="5">
        <v>201.12</v>
      </c>
      <c r="E432" s="6">
        <v>4.66689245920562e-6</v>
      </c>
      <c r="F432" s="6">
        <v>1.21489662311619e-5</v>
      </c>
      <c r="G432" s="7">
        <v>1.22600996126176</v>
      </c>
    </row>
    <row r="433" spans="1:7">
      <c r="A433" s="3">
        <v>429</v>
      </c>
      <c r="B433" s="3" t="s">
        <v>549</v>
      </c>
      <c r="C433" s="5">
        <v>83.56</v>
      </c>
      <c r="D433" s="5">
        <v>199.99</v>
      </c>
      <c r="E433" s="6">
        <v>4.31616528933283e-6</v>
      </c>
      <c r="F433" s="6">
        <v>1.20807068246324e-5</v>
      </c>
      <c r="G433" s="7">
        <v>1.39337003350886</v>
      </c>
    </row>
    <row r="434" spans="1:7">
      <c r="A434" s="3">
        <v>430</v>
      </c>
      <c r="B434" s="3" t="s">
        <v>550</v>
      </c>
      <c r="C434" s="5">
        <v>166.4</v>
      </c>
      <c r="D434" s="5">
        <v>199.96</v>
      </c>
      <c r="E434" s="6">
        <v>8.59514006875279e-6</v>
      </c>
      <c r="F434" s="6">
        <v>1.20788946279989e-5</v>
      </c>
      <c r="G434" s="7">
        <v>0.201682692307692</v>
      </c>
    </row>
    <row r="435" spans="1:7">
      <c r="A435" s="3">
        <v>431</v>
      </c>
      <c r="B435" s="3" t="s">
        <v>551</v>
      </c>
      <c r="C435" s="5">
        <v>470.91</v>
      </c>
      <c r="D435" s="5">
        <v>198.75</v>
      </c>
      <c r="E435" s="6">
        <v>2.43241430875984e-5</v>
      </c>
      <c r="F435" s="6">
        <v>1.20058026971133e-5</v>
      </c>
      <c r="G435" s="8">
        <v>-0.577944830222335</v>
      </c>
    </row>
    <row r="436" spans="1:7">
      <c r="A436" s="3">
        <v>432</v>
      </c>
      <c r="B436" s="3" t="s">
        <v>552</v>
      </c>
      <c r="C436" s="5">
        <v>54.95</v>
      </c>
      <c r="D436" s="5">
        <v>197.92</v>
      </c>
      <c r="E436" s="6">
        <v>2.83835905515605e-6</v>
      </c>
      <c r="F436" s="6">
        <v>1.1955665256919e-5</v>
      </c>
      <c r="G436" s="7">
        <v>2.60181983621474</v>
      </c>
    </row>
    <row r="437" spans="1:7">
      <c r="A437" s="3">
        <v>433</v>
      </c>
      <c r="B437" s="3" t="s">
        <v>553</v>
      </c>
      <c r="C437" s="5">
        <v>508.64</v>
      </c>
      <c r="D437" s="5">
        <v>195</v>
      </c>
      <c r="E437" s="6">
        <v>2.62730291140049e-5</v>
      </c>
      <c r="F437" s="6">
        <v>1.17792781179225e-5</v>
      </c>
      <c r="G437" s="8">
        <v>-0.616624724756213</v>
      </c>
    </row>
    <row r="438" spans="1:7">
      <c r="A438" s="3">
        <v>434</v>
      </c>
      <c r="B438" s="3" t="s">
        <v>554</v>
      </c>
      <c r="C438" s="5">
        <v>58.55</v>
      </c>
      <c r="D438" s="5">
        <v>191.92</v>
      </c>
      <c r="E438" s="6">
        <v>3.02431160472041e-6</v>
      </c>
      <c r="F438" s="6">
        <v>1.15932259302137e-5</v>
      </c>
      <c r="G438" s="7">
        <v>2.27788215200683</v>
      </c>
    </row>
    <row r="439" spans="1:7">
      <c r="A439" s="3">
        <v>435</v>
      </c>
      <c r="B439" s="3" t="s">
        <v>555</v>
      </c>
      <c r="C439" s="5">
        <v>900</v>
      </c>
      <c r="D439" s="5">
        <v>191.8</v>
      </c>
      <c r="E439" s="6">
        <v>4.64881373910908e-5</v>
      </c>
      <c r="F439" s="6">
        <v>1.15859771436796e-5</v>
      </c>
      <c r="G439" s="8">
        <v>-0.786888888888889</v>
      </c>
    </row>
    <row r="440" spans="1:7">
      <c r="A440" s="3">
        <v>436</v>
      </c>
      <c r="B440" s="3" t="s">
        <v>556</v>
      </c>
      <c r="C440" s="5">
        <v>0</v>
      </c>
      <c r="D440" s="5">
        <v>191.28</v>
      </c>
      <c r="E440" s="6">
        <v>0</v>
      </c>
      <c r="F440" s="6">
        <v>1.15545657353652e-5</v>
      </c>
      <c r="G440" s="3"/>
    </row>
    <row r="441" spans="1:7">
      <c r="A441" s="3">
        <v>437</v>
      </c>
      <c r="B441" s="3" t="s">
        <v>557</v>
      </c>
      <c r="C441" s="5">
        <v>431.75</v>
      </c>
      <c r="D441" s="5">
        <v>190.53</v>
      </c>
      <c r="E441" s="6">
        <v>2.23013925762261e-5</v>
      </c>
      <c r="F441" s="6">
        <v>1.1509260819527e-5</v>
      </c>
      <c r="G441" s="8">
        <v>-0.558702953097858</v>
      </c>
    </row>
    <row r="442" spans="1:7">
      <c r="A442" s="3">
        <v>438</v>
      </c>
      <c r="B442" s="3" t="s">
        <v>558</v>
      </c>
      <c r="C442" s="5">
        <v>12259.44</v>
      </c>
      <c r="D442" s="5">
        <v>189.91</v>
      </c>
      <c r="E442" s="6">
        <v>0.000633242812286483</v>
      </c>
      <c r="F442" s="6">
        <v>1.14718087557675e-5</v>
      </c>
      <c r="G442" s="8">
        <v>-0.98450908034951</v>
      </c>
    </row>
    <row r="443" spans="1:7">
      <c r="A443" s="3">
        <v>439</v>
      </c>
      <c r="B443" s="3" t="s">
        <v>559</v>
      </c>
      <c r="C443" s="5">
        <v>518.82</v>
      </c>
      <c r="D443" s="5">
        <v>188.96</v>
      </c>
      <c r="E443" s="6">
        <v>2.67988616013842e-5</v>
      </c>
      <c r="F443" s="6">
        <v>1.14144225290391e-5</v>
      </c>
      <c r="G443" s="8">
        <v>-0.635788905593462</v>
      </c>
    </row>
    <row r="444" spans="1:7">
      <c r="A444" s="3">
        <v>440</v>
      </c>
      <c r="B444" s="3" t="s">
        <v>560</v>
      </c>
      <c r="C444" s="5">
        <v>2141.57</v>
      </c>
      <c r="D444" s="5">
        <v>185.94</v>
      </c>
      <c r="E444" s="6">
        <v>0.000110619555991821</v>
      </c>
      <c r="F444" s="6">
        <v>1.12319947345974e-5</v>
      </c>
      <c r="G444" s="8">
        <v>-0.913175847625807</v>
      </c>
    </row>
    <row r="445" spans="1:7">
      <c r="A445" s="3">
        <v>441</v>
      </c>
      <c r="B445" s="3" t="s">
        <v>561</v>
      </c>
      <c r="C445" s="5">
        <v>39.99</v>
      </c>
      <c r="D445" s="5">
        <v>185.93</v>
      </c>
      <c r="E445" s="6">
        <v>2.06562290474414e-6</v>
      </c>
      <c r="F445" s="6">
        <v>1.12313906690529e-5</v>
      </c>
      <c r="G445" s="7">
        <v>3.64941235308827</v>
      </c>
    </row>
    <row r="446" spans="1:7">
      <c r="A446" s="3">
        <v>442</v>
      </c>
      <c r="B446" s="3" t="s">
        <v>562</v>
      </c>
      <c r="C446" s="5">
        <v>0</v>
      </c>
      <c r="D446" s="5">
        <v>185.72</v>
      </c>
      <c r="E446" s="6">
        <v>0</v>
      </c>
      <c r="F446" s="6">
        <v>1.12187052926183e-5</v>
      </c>
      <c r="G446" s="3"/>
    </row>
    <row r="447" spans="1:7">
      <c r="A447" s="3">
        <v>443</v>
      </c>
      <c r="B447" s="3" t="s">
        <v>563</v>
      </c>
      <c r="C447" s="5">
        <v>8.72</v>
      </c>
      <c r="D447" s="5">
        <v>184.49</v>
      </c>
      <c r="E447" s="6">
        <v>4.5041839783368e-7</v>
      </c>
      <c r="F447" s="6">
        <v>1.11444052306437e-5</v>
      </c>
      <c r="G447" s="7">
        <v>20.1571100917431</v>
      </c>
    </row>
    <row r="448" spans="1:7">
      <c r="A448" s="3">
        <v>444</v>
      </c>
      <c r="B448" s="3" t="s">
        <v>564</v>
      </c>
      <c r="C448" s="5">
        <v>0</v>
      </c>
      <c r="D448" s="5">
        <v>179.91</v>
      </c>
      <c r="E448" s="6">
        <v>0</v>
      </c>
      <c r="F448" s="6">
        <v>1.08677432112586e-5</v>
      </c>
      <c r="G448" s="3"/>
    </row>
    <row r="449" spans="1:7">
      <c r="A449" s="3">
        <v>445</v>
      </c>
      <c r="B449" s="3" t="s">
        <v>565</v>
      </c>
      <c r="C449" s="5">
        <v>0</v>
      </c>
      <c r="D449" s="5">
        <v>177.66</v>
      </c>
      <c r="E449" s="6">
        <v>0</v>
      </c>
      <c r="F449" s="6">
        <v>1.07318284637441e-5</v>
      </c>
      <c r="G449" s="3"/>
    </row>
    <row r="450" spans="1:7">
      <c r="A450" s="3">
        <v>446</v>
      </c>
      <c r="B450" s="3" t="s">
        <v>566</v>
      </c>
      <c r="C450" s="5">
        <v>0</v>
      </c>
      <c r="D450" s="5">
        <v>177</v>
      </c>
      <c r="E450" s="6">
        <v>0</v>
      </c>
      <c r="F450" s="6">
        <v>1.06919601378065e-5</v>
      </c>
      <c r="G450" s="3"/>
    </row>
    <row r="451" spans="1:7">
      <c r="A451" s="3">
        <v>447</v>
      </c>
      <c r="B451" s="3" t="s">
        <v>567</v>
      </c>
      <c r="C451" s="5">
        <v>1324.29</v>
      </c>
      <c r="D451" s="5">
        <v>173.12</v>
      </c>
      <c r="E451" s="6">
        <v>6.84041949618308e-5</v>
      </c>
      <c r="F451" s="6">
        <v>1.04575827065371e-5</v>
      </c>
      <c r="G451" s="8">
        <v>-0.869273346472449</v>
      </c>
    </row>
    <row r="452" spans="1:7">
      <c r="A452" s="3">
        <v>448</v>
      </c>
      <c r="B452" s="3" t="s">
        <v>568</v>
      </c>
      <c r="C452" s="5">
        <v>171.73</v>
      </c>
      <c r="D452" s="5">
        <v>171.78</v>
      </c>
      <c r="E452" s="6">
        <v>8.87045314908003e-6</v>
      </c>
      <c r="F452" s="6">
        <v>1.03766379235729e-5</v>
      </c>
      <c r="G452" s="7">
        <v>0.000291154719618048</v>
      </c>
    </row>
    <row r="453" spans="1:7">
      <c r="A453" s="3">
        <v>449</v>
      </c>
      <c r="B453" s="3" t="s">
        <v>569</v>
      </c>
      <c r="C453" s="5">
        <v>0</v>
      </c>
      <c r="D453" s="5">
        <v>169.12</v>
      </c>
      <c r="E453" s="6">
        <v>0</v>
      </c>
      <c r="F453" s="6">
        <v>1.02159564887336e-5</v>
      </c>
      <c r="G453" s="3"/>
    </row>
    <row r="454" spans="1:7">
      <c r="A454" s="3">
        <v>450</v>
      </c>
      <c r="B454" s="3" t="s">
        <v>570</v>
      </c>
      <c r="C454" s="5">
        <v>128.32</v>
      </c>
      <c r="D454" s="5">
        <v>167.97</v>
      </c>
      <c r="E454" s="6">
        <v>6.62817532224975e-6</v>
      </c>
      <c r="F454" s="6">
        <v>1.01464889511151e-5</v>
      </c>
      <c r="G454" s="7">
        <v>0.308993142144638</v>
      </c>
    </row>
    <row r="455" spans="1:7">
      <c r="A455" s="3">
        <v>451</v>
      </c>
      <c r="B455" s="3" t="s">
        <v>571</v>
      </c>
      <c r="C455" s="5">
        <v>3633.69</v>
      </c>
      <c r="D455" s="5">
        <v>166.46</v>
      </c>
      <c r="E455" s="6">
        <v>0.00018769275550737</v>
      </c>
      <c r="F455" s="6">
        <v>1.00552750538942e-5</v>
      </c>
      <c r="G455" s="8">
        <v>-0.954189818063731</v>
      </c>
    </row>
    <row r="456" spans="1:7">
      <c r="A456" s="3">
        <v>452</v>
      </c>
      <c r="B456" s="3" t="s">
        <v>572</v>
      </c>
      <c r="C456" s="5">
        <v>0</v>
      </c>
      <c r="D456" s="5">
        <v>164.18</v>
      </c>
      <c r="E456" s="6">
        <v>0</v>
      </c>
      <c r="F456" s="6">
        <v>9.9175481097462e-6</v>
      </c>
      <c r="G456" s="3"/>
    </row>
    <row r="457" spans="1:7">
      <c r="A457" s="3">
        <v>453</v>
      </c>
      <c r="B457" s="3" t="s">
        <v>573</v>
      </c>
      <c r="C457" s="5">
        <v>10.73</v>
      </c>
      <c r="D457" s="5">
        <v>162.45</v>
      </c>
      <c r="E457" s="6">
        <v>5.54241904673783e-7</v>
      </c>
      <c r="F457" s="6">
        <v>9.81304477054617e-6</v>
      </c>
      <c r="G457" s="7">
        <v>14.1397949673812</v>
      </c>
    </row>
    <row r="458" spans="1:7">
      <c r="A458" s="3">
        <v>454</v>
      </c>
      <c r="B458" s="3" t="s">
        <v>574</v>
      </c>
      <c r="C458" s="5">
        <v>125.93</v>
      </c>
      <c r="D458" s="5">
        <v>161.91</v>
      </c>
      <c r="E458" s="6">
        <v>6.50472349073341e-6</v>
      </c>
      <c r="F458" s="6">
        <v>9.78042523114269e-6</v>
      </c>
      <c r="G458" s="7">
        <v>0.285714285714286</v>
      </c>
    </row>
    <row r="459" spans="1:7">
      <c r="A459" s="3">
        <v>455</v>
      </c>
      <c r="B459" s="3" t="s">
        <v>575</v>
      </c>
      <c r="C459" s="5">
        <v>0</v>
      </c>
      <c r="D459" s="5">
        <v>159.92</v>
      </c>
      <c r="E459" s="6">
        <v>0</v>
      </c>
      <c r="F459" s="6">
        <v>9.66021618778543e-6</v>
      </c>
      <c r="G459" s="3"/>
    </row>
    <row r="460" spans="1:7">
      <c r="A460" s="3">
        <v>456</v>
      </c>
      <c r="B460" s="3" t="s">
        <v>576</v>
      </c>
      <c r="C460" s="5">
        <v>254.97</v>
      </c>
      <c r="D460" s="5">
        <v>155.16</v>
      </c>
      <c r="E460" s="6">
        <v>1.3170089322896e-5</v>
      </c>
      <c r="F460" s="6">
        <v>9.37268098859922e-6</v>
      </c>
      <c r="G460" s="8">
        <v>-0.39145781856689</v>
      </c>
    </row>
    <row r="461" spans="1:7">
      <c r="A461" s="3">
        <v>457</v>
      </c>
      <c r="B461" s="3" t="s">
        <v>577</v>
      </c>
      <c r="C461" s="5">
        <v>0</v>
      </c>
      <c r="D461" s="5">
        <v>151.92</v>
      </c>
      <c r="E461" s="6">
        <v>0</v>
      </c>
      <c r="F461" s="6">
        <v>9.17696375217836e-6</v>
      </c>
      <c r="G461" s="3"/>
    </row>
    <row r="462" spans="1:7">
      <c r="A462" s="3">
        <v>458</v>
      </c>
      <c r="B462" s="3" t="s">
        <v>578</v>
      </c>
      <c r="C462" s="5">
        <v>662.64</v>
      </c>
      <c r="D462" s="5">
        <v>150.03</v>
      </c>
      <c r="E462" s="6">
        <v>3.42276659564805e-5</v>
      </c>
      <c r="F462" s="6">
        <v>9.06279536426619e-6</v>
      </c>
      <c r="G462" s="8">
        <v>-0.773587468308584</v>
      </c>
    </row>
    <row r="463" spans="1:7">
      <c r="A463" s="3">
        <v>459</v>
      </c>
      <c r="B463" s="3" t="s">
        <v>579</v>
      </c>
      <c r="C463" s="5">
        <v>0</v>
      </c>
      <c r="D463" s="5">
        <v>148.77</v>
      </c>
      <c r="E463" s="6">
        <v>0</v>
      </c>
      <c r="F463" s="6">
        <v>8.98668310565807e-6</v>
      </c>
      <c r="G463" s="3"/>
    </row>
    <row r="464" spans="1:7">
      <c r="A464" s="3">
        <v>460</v>
      </c>
      <c r="B464" s="3" t="s">
        <v>580</v>
      </c>
      <c r="C464" s="5">
        <v>82.85</v>
      </c>
      <c r="D464" s="5">
        <v>146.97</v>
      </c>
      <c r="E464" s="6">
        <v>4.27949131427986e-6</v>
      </c>
      <c r="F464" s="6">
        <v>8.87795130764648e-6</v>
      </c>
      <c r="G464" s="7">
        <v>0.773928786964393</v>
      </c>
    </row>
    <row r="465" spans="1:7">
      <c r="A465" s="3">
        <v>461</v>
      </c>
      <c r="B465" s="3" t="s">
        <v>581</v>
      </c>
      <c r="C465" s="5">
        <v>0</v>
      </c>
      <c r="D465" s="5">
        <v>145.4</v>
      </c>
      <c r="E465" s="6">
        <v>0</v>
      </c>
      <c r="F465" s="6">
        <v>8.78311301715859e-6</v>
      </c>
      <c r="G465" s="3"/>
    </row>
    <row r="466" spans="1:7">
      <c r="A466" s="3">
        <v>462</v>
      </c>
      <c r="B466" s="3" t="s">
        <v>582</v>
      </c>
      <c r="C466" s="5">
        <v>104.19</v>
      </c>
      <c r="D466" s="5">
        <v>144.64</v>
      </c>
      <c r="E466" s="6">
        <v>5.38177670530862e-6</v>
      </c>
      <c r="F466" s="6">
        <v>8.73720403577592e-6</v>
      </c>
      <c r="G466" s="7">
        <v>0.388233035799981</v>
      </c>
    </row>
    <row r="467" spans="1:7">
      <c r="A467" s="3">
        <v>463</v>
      </c>
      <c r="B467" s="3" t="s">
        <v>583</v>
      </c>
      <c r="C467" s="5">
        <v>0</v>
      </c>
      <c r="D467" s="5">
        <v>139</v>
      </c>
      <c r="E467" s="6">
        <v>0</v>
      </c>
      <c r="F467" s="6">
        <v>8.39651106867293e-6</v>
      </c>
      <c r="G467" s="3"/>
    </row>
    <row r="468" spans="1:7">
      <c r="A468" s="3">
        <v>464</v>
      </c>
      <c r="B468" s="3" t="s">
        <v>584</v>
      </c>
      <c r="C468" s="5">
        <v>0</v>
      </c>
      <c r="D468" s="5">
        <v>137.97</v>
      </c>
      <c r="E468" s="6">
        <v>0</v>
      </c>
      <c r="F468" s="6">
        <v>8.33429231758852e-6</v>
      </c>
      <c r="G468" s="3"/>
    </row>
    <row r="469" spans="1:7">
      <c r="A469" s="3">
        <v>465</v>
      </c>
      <c r="B469" s="3" t="s">
        <v>585</v>
      </c>
      <c r="C469" s="5">
        <v>0</v>
      </c>
      <c r="D469" s="5">
        <v>137.62</v>
      </c>
      <c r="E469" s="6">
        <v>0</v>
      </c>
      <c r="F469" s="6">
        <v>8.31315002353071e-6</v>
      </c>
      <c r="G469" s="3"/>
    </row>
    <row r="470" spans="1:7">
      <c r="A470" s="3">
        <v>466</v>
      </c>
      <c r="B470" s="3" t="s">
        <v>586</v>
      </c>
      <c r="C470" s="5">
        <v>769.67</v>
      </c>
      <c r="D470" s="5">
        <v>136.45</v>
      </c>
      <c r="E470" s="6">
        <v>3.9756138562001e-5</v>
      </c>
      <c r="F470" s="6">
        <v>8.24247435482318e-6</v>
      </c>
      <c r="G470" s="8">
        <v>-0.822716229033222</v>
      </c>
    </row>
    <row r="471" spans="1:7">
      <c r="A471" s="3">
        <v>467</v>
      </c>
      <c r="B471" s="3" t="s">
        <v>587</v>
      </c>
      <c r="C471" s="5">
        <v>299.85</v>
      </c>
      <c r="D471" s="5">
        <v>135.92</v>
      </c>
      <c r="E471" s="6">
        <v>1.54882977741318e-5</v>
      </c>
      <c r="F471" s="6">
        <v>8.21045888096421e-6</v>
      </c>
      <c r="G471" s="8">
        <v>-0.546706686676672</v>
      </c>
    </row>
    <row r="472" spans="1:7">
      <c r="A472" s="3">
        <v>468</v>
      </c>
      <c r="B472" s="3" t="s">
        <v>588</v>
      </c>
      <c r="C472" s="5">
        <v>0</v>
      </c>
      <c r="D472" s="5">
        <v>134.66</v>
      </c>
      <c r="E472" s="6">
        <v>0</v>
      </c>
      <c r="F472" s="6">
        <v>8.13434662235609e-6</v>
      </c>
      <c r="G472" s="3"/>
    </row>
    <row r="473" spans="1:7">
      <c r="A473" s="3">
        <v>469</v>
      </c>
      <c r="B473" s="3" t="s">
        <v>589</v>
      </c>
      <c r="C473" s="5">
        <v>84.61</v>
      </c>
      <c r="D473" s="5">
        <v>133.6</v>
      </c>
      <c r="E473" s="6">
        <v>4.37040144962244e-6</v>
      </c>
      <c r="F473" s="6">
        <v>8.07031567463815e-6</v>
      </c>
      <c r="G473" s="7">
        <v>0.579009573336485</v>
      </c>
    </row>
    <row r="474" spans="1:7">
      <c r="A474" s="3">
        <v>470</v>
      </c>
      <c r="B474" s="3" t="s">
        <v>590</v>
      </c>
      <c r="C474" s="5">
        <v>88.52</v>
      </c>
      <c r="D474" s="5">
        <v>129.95</v>
      </c>
      <c r="E474" s="6">
        <v>4.57236657984373e-6</v>
      </c>
      <c r="F474" s="6">
        <v>7.84983175089243e-6</v>
      </c>
      <c r="G474" s="7">
        <v>0.46802982376864</v>
      </c>
    </row>
    <row r="475" spans="1:7">
      <c r="A475" s="3">
        <v>471</v>
      </c>
      <c r="B475" s="3" t="s">
        <v>591</v>
      </c>
      <c r="C475" s="5">
        <v>99.88</v>
      </c>
      <c r="D475" s="5">
        <v>129.54</v>
      </c>
      <c r="E475" s="6">
        <v>5.15915018069128e-6</v>
      </c>
      <c r="F475" s="6">
        <v>7.82506506356756e-6</v>
      </c>
      <c r="G475" s="7">
        <v>0.296956347617141</v>
      </c>
    </row>
    <row r="476" spans="1:7">
      <c r="A476" s="3">
        <v>472</v>
      </c>
      <c r="B476" s="3" t="s">
        <v>592</v>
      </c>
      <c r="C476" s="5">
        <v>216.2</v>
      </c>
      <c r="D476" s="5">
        <v>129.12</v>
      </c>
      <c r="E476" s="6">
        <v>1.11674836710598e-5</v>
      </c>
      <c r="F476" s="6">
        <v>7.79969431069819e-6</v>
      </c>
      <c r="G476" s="8">
        <v>-0.402775208140611</v>
      </c>
    </row>
    <row r="477" spans="1:7">
      <c r="A477" s="3">
        <v>473</v>
      </c>
      <c r="B477" s="3" t="s">
        <v>593</v>
      </c>
      <c r="C477" s="5">
        <v>161.88</v>
      </c>
      <c r="D477" s="5">
        <v>128.88</v>
      </c>
      <c r="E477" s="6">
        <v>8.36166631207754e-6</v>
      </c>
      <c r="F477" s="6">
        <v>7.78519673762998e-6</v>
      </c>
      <c r="G477" s="8">
        <v>-0.203854707190511</v>
      </c>
    </row>
    <row r="478" spans="1:7">
      <c r="A478" s="3">
        <v>474</v>
      </c>
      <c r="B478" s="3" t="s">
        <v>594</v>
      </c>
      <c r="C478" s="5">
        <v>171.84</v>
      </c>
      <c r="D478" s="5">
        <v>127.84</v>
      </c>
      <c r="E478" s="6">
        <v>8.87613503253894e-6</v>
      </c>
      <c r="F478" s="6">
        <v>7.72237392100106e-6</v>
      </c>
      <c r="G478" s="8">
        <v>-0.256052141527002</v>
      </c>
    </row>
    <row r="479" spans="1:7">
      <c r="A479" s="3">
        <v>475</v>
      </c>
      <c r="B479" s="3" t="s">
        <v>595</v>
      </c>
      <c r="C479" s="5">
        <v>559.85</v>
      </c>
      <c r="D479" s="5">
        <v>127.17</v>
      </c>
      <c r="E479" s="6">
        <v>2.8918204131558e-5</v>
      </c>
      <c r="F479" s="6">
        <v>7.68190152951897e-6</v>
      </c>
      <c r="G479" s="8">
        <v>-0.772849870501027</v>
      </c>
    </row>
    <row r="480" spans="1:7">
      <c r="A480" s="3">
        <v>476</v>
      </c>
      <c r="B480" s="3" t="s">
        <v>596</v>
      </c>
      <c r="C480" s="5">
        <v>24.99</v>
      </c>
      <c r="D480" s="5">
        <v>127.13</v>
      </c>
      <c r="E480" s="6">
        <v>1.29082061489262e-6</v>
      </c>
      <c r="F480" s="6">
        <v>7.67948526734093e-6</v>
      </c>
      <c r="G480" s="7">
        <v>4.08723489395758</v>
      </c>
    </row>
    <row r="481" spans="1:7">
      <c r="A481" s="3">
        <v>477</v>
      </c>
      <c r="B481" s="3" t="s">
        <v>597</v>
      </c>
      <c r="C481" s="5">
        <v>1501.36</v>
      </c>
      <c r="D481" s="5">
        <v>126.89</v>
      </c>
      <c r="E481" s="6">
        <v>7.75504777260979e-5</v>
      </c>
      <c r="F481" s="6">
        <v>7.66498769427272e-6</v>
      </c>
      <c r="G481" s="8">
        <v>-0.915483295145735</v>
      </c>
    </row>
    <row r="482" spans="1:7">
      <c r="A482" s="3">
        <v>478</v>
      </c>
      <c r="B482" s="3" t="s">
        <v>598</v>
      </c>
      <c r="C482" s="5">
        <v>0</v>
      </c>
      <c r="D482" s="5">
        <v>125.06</v>
      </c>
      <c r="E482" s="6">
        <v>0</v>
      </c>
      <c r="F482" s="6">
        <v>7.5544436996276e-6</v>
      </c>
      <c r="G482" s="3"/>
    </row>
    <row r="483" spans="1:7">
      <c r="A483" s="3">
        <v>479</v>
      </c>
      <c r="B483" s="3" t="s">
        <v>599</v>
      </c>
      <c r="C483" s="5">
        <v>245.88</v>
      </c>
      <c r="D483" s="5">
        <v>124.95</v>
      </c>
      <c r="E483" s="6">
        <v>1.2700559135246e-5</v>
      </c>
      <c r="F483" s="6">
        <v>7.547798978638e-6</v>
      </c>
      <c r="G483" s="8">
        <v>-0.491825280624695</v>
      </c>
    </row>
    <row r="484" spans="1:7">
      <c r="A484" s="3">
        <v>480</v>
      </c>
      <c r="B484" s="3" t="s">
        <v>600</v>
      </c>
      <c r="C484" s="5">
        <v>26.99</v>
      </c>
      <c r="D484" s="5">
        <v>123.94</v>
      </c>
      <c r="E484" s="6">
        <v>1.39412758687282e-6</v>
      </c>
      <c r="F484" s="6">
        <v>7.48678835864261e-6</v>
      </c>
      <c r="G484" s="7">
        <v>3.59207113745832</v>
      </c>
    </row>
    <row r="485" spans="1:7">
      <c r="A485" s="3">
        <v>481</v>
      </c>
      <c r="B485" s="3" t="s">
        <v>601</v>
      </c>
      <c r="C485" s="5">
        <v>307.19</v>
      </c>
      <c r="D485" s="5">
        <v>121.99</v>
      </c>
      <c r="E485" s="6">
        <v>1.58674343612991e-5</v>
      </c>
      <c r="F485" s="6">
        <v>7.36899557746339e-6</v>
      </c>
      <c r="G485" s="8">
        <v>-0.602884208470328</v>
      </c>
    </row>
    <row r="486" spans="1:7">
      <c r="A486" s="3">
        <v>482</v>
      </c>
      <c r="B486" s="3" t="s">
        <v>602</v>
      </c>
      <c r="C486" s="5">
        <v>0</v>
      </c>
      <c r="D486" s="5">
        <v>120.98</v>
      </c>
      <c r="E486" s="6">
        <v>0</v>
      </c>
      <c r="F486" s="6">
        <v>7.30798495746799e-6</v>
      </c>
      <c r="G486" s="3"/>
    </row>
    <row r="487" spans="1:7">
      <c r="A487" s="3">
        <v>483</v>
      </c>
      <c r="B487" s="3" t="s">
        <v>603</v>
      </c>
      <c r="C487" s="5">
        <v>43.96</v>
      </c>
      <c r="D487" s="5">
        <v>120.89</v>
      </c>
      <c r="E487" s="6">
        <v>2.27068724412484e-6</v>
      </c>
      <c r="F487" s="6">
        <v>7.30254836756742e-6</v>
      </c>
      <c r="G487" s="7">
        <v>1.75</v>
      </c>
    </row>
    <row r="488" spans="1:7">
      <c r="A488" s="3">
        <v>484</v>
      </c>
      <c r="B488" s="3" t="s">
        <v>604</v>
      </c>
      <c r="C488" s="5">
        <v>1154.65</v>
      </c>
      <c r="D488" s="5">
        <v>119.96</v>
      </c>
      <c r="E488" s="6">
        <v>5.96416975984701e-5</v>
      </c>
      <c r="F488" s="6">
        <v>7.24637027192809e-6</v>
      </c>
      <c r="G488" s="8">
        <v>-0.896107045425021</v>
      </c>
    </row>
    <row r="489" spans="1:7">
      <c r="A489" s="3">
        <v>485</v>
      </c>
      <c r="B489" s="3" t="s">
        <v>605</v>
      </c>
      <c r="C489" s="5">
        <v>45.98</v>
      </c>
      <c r="D489" s="5">
        <v>119.94</v>
      </c>
      <c r="E489" s="6">
        <v>2.37502728582484e-6</v>
      </c>
      <c r="F489" s="6">
        <v>7.24516214083908e-6</v>
      </c>
      <c r="G489" s="7">
        <v>1.60852544584602</v>
      </c>
    </row>
    <row r="490" spans="1:7">
      <c r="A490" s="3">
        <v>486</v>
      </c>
      <c r="B490" s="3" t="s">
        <v>606</v>
      </c>
      <c r="C490" s="5">
        <v>0</v>
      </c>
      <c r="D490" s="5">
        <v>119.64</v>
      </c>
      <c r="E490" s="6">
        <v>0</v>
      </c>
      <c r="F490" s="6">
        <v>7.22704017450381e-6</v>
      </c>
      <c r="G490" s="3"/>
    </row>
    <row r="491" spans="1:7">
      <c r="A491" s="3">
        <v>487</v>
      </c>
      <c r="B491" s="3" t="s">
        <v>607</v>
      </c>
      <c r="C491" s="5">
        <v>0</v>
      </c>
      <c r="D491" s="5">
        <v>117.98</v>
      </c>
      <c r="E491" s="6">
        <v>0</v>
      </c>
      <c r="F491" s="6">
        <v>7.12676529411534e-6</v>
      </c>
      <c r="G491" s="3"/>
    </row>
    <row r="492" spans="1:7">
      <c r="A492" s="3">
        <v>488</v>
      </c>
      <c r="B492" s="3" t="s">
        <v>608</v>
      </c>
      <c r="C492" s="5">
        <v>945.88</v>
      </c>
      <c r="D492" s="5">
        <v>116.9</v>
      </c>
      <c r="E492" s="6">
        <v>4.88579993283167e-5</v>
      </c>
      <c r="F492" s="6">
        <v>7.06152621530839e-6</v>
      </c>
      <c r="G492" s="8">
        <v>-0.876411384107921</v>
      </c>
    </row>
    <row r="493" spans="1:7">
      <c r="A493" s="3">
        <v>489</v>
      </c>
      <c r="B493" s="3" t="s">
        <v>609</v>
      </c>
      <c r="C493" s="5">
        <v>237.35</v>
      </c>
      <c r="D493" s="5">
        <v>116.49</v>
      </c>
      <c r="E493" s="6">
        <v>1.22599548997505e-5</v>
      </c>
      <c r="F493" s="6">
        <v>7.03675952798352e-6</v>
      </c>
      <c r="G493" s="8">
        <v>-0.509205814198441</v>
      </c>
    </row>
    <row r="494" spans="1:7">
      <c r="A494" s="3">
        <v>490</v>
      </c>
      <c r="B494" s="3" t="s">
        <v>610</v>
      </c>
      <c r="C494" s="5">
        <v>0</v>
      </c>
      <c r="D494" s="5">
        <v>115.17</v>
      </c>
      <c r="E494" s="6">
        <v>0</v>
      </c>
      <c r="F494" s="6">
        <v>6.95702287610836e-6</v>
      </c>
      <c r="G494" s="3"/>
    </row>
    <row r="495" spans="1:7">
      <c r="A495" s="3">
        <v>491</v>
      </c>
      <c r="B495" s="3" t="s">
        <v>611</v>
      </c>
      <c r="C495" s="5">
        <v>1852.63</v>
      </c>
      <c r="D495" s="5">
        <v>113.9</v>
      </c>
      <c r="E495" s="6">
        <v>9.56947977498407e-5</v>
      </c>
      <c r="F495" s="6">
        <v>6.88030655195573e-6</v>
      </c>
      <c r="G495" s="8">
        <v>-0.938519833965768</v>
      </c>
    </row>
    <row r="496" spans="1:7">
      <c r="A496" s="3">
        <v>492</v>
      </c>
      <c r="B496" s="3" t="s">
        <v>612</v>
      </c>
      <c r="C496" s="5">
        <v>105.96</v>
      </c>
      <c r="D496" s="5">
        <v>112.74</v>
      </c>
      <c r="E496" s="6">
        <v>5.47320337551109e-6</v>
      </c>
      <c r="F496" s="6">
        <v>6.81023494879271e-6</v>
      </c>
      <c r="G496" s="7">
        <v>0.063986409966025</v>
      </c>
    </row>
    <row r="497" spans="1:7">
      <c r="A497" s="3">
        <v>493</v>
      </c>
      <c r="B497" s="3" t="s">
        <v>613</v>
      </c>
      <c r="C497" s="5">
        <v>55.48</v>
      </c>
      <c r="D497" s="5">
        <v>111.54</v>
      </c>
      <c r="E497" s="6">
        <v>2.8657354027308e-6</v>
      </c>
      <c r="F497" s="6">
        <v>6.73774708345165e-6</v>
      </c>
      <c r="G497" s="7">
        <v>1.01045421773612</v>
      </c>
    </row>
    <row r="498" spans="1:7">
      <c r="A498" s="3">
        <v>494</v>
      </c>
      <c r="B498" s="3" t="s">
        <v>614</v>
      </c>
      <c r="C498" s="5">
        <v>32.29</v>
      </c>
      <c r="D498" s="5">
        <v>110.1</v>
      </c>
      <c r="E498" s="6">
        <v>1.66789106262036e-6</v>
      </c>
      <c r="F498" s="6">
        <v>6.65076164504237e-6</v>
      </c>
      <c r="G498" s="7">
        <v>2.40972437287086</v>
      </c>
    </row>
    <row r="499" spans="1:7">
      <c r="A499" s="3">
        <v>495</v>
      </c>
      <c r="B499" s="3" t="s">
        <v>615</v>
      </c>
      <c r="C499" s="5">
        <v>171.3</v>
      </c>
      <c r="D499" s="5">
        <v>109.81</v>
      </c>
      <c r="E499" s="6">
        <v>8.84824215010429e-6</v>
      </c>
      <c r="F499" s="6">
        <v>6.63324374425162e-6</v>
      </c>
      <c r="G499" s="8">
        <v>-0.358960887332166</v>
      </c>
    </row>
    <row r="500" spans="1:7">
      <c r="A500" s="3">
        <v>496</v>
      </c>
      <c r="B500" s="3" t="s">
        <v>616</v>
      </c>
      <c r="C500" s="5">
        <v>0</v>
      </c>
      <c r="D500" s="5">
        <v>107.94</v>
      </c>
      <c r="E500" s="6">
        <v>0</v>
      </c>
      <c r="F500" s="6">
        <v>6.52028348742846e-6</v>
      </c>
      <c r="G500" s="3"/>
    </row>
    <row r="501" spans="1:7">
      <c r="A501" s="3">
        <v>497</v>
      </c>
      <c r="B501" s="3" t="s">
        <v>617</v>
      </c>
      <c r="C501" s="5">
        <v>0</v>
      </c>
      <c r="D501" s="5">
        <v>104.93</v>
      </c>
      <c r="E501" s="6">
        <v>0</v>
      </c>
      <c r="F501" s="6">
        <v>6.3384597585313e-6</v>
      </c>
      <c r="G501" s="3"/>
    </row>
    <row r="502" spans="1:7">
      <c r="A502" s="3">
        <v>498</v>
      </c>
      <c r="B502" s="3" t="s">
        <v>618</v>
      </c>
      <c r="C502" s="5">
        <v>121.2</v>
      </c>
      <c r="D502" s="5">
        <v>104.78</v>
      </c>
      <c r="E502" s="6">
        <v>6.26040250200023e-6</v>
      </c>
      <c r="F502" s="6">
        <v>6.32939877536367e-6</v>
      </c>
      <c r="G502" s="8">
        <v>-0.135478547854785</v>
      </c>
    </row>
    <row r="503" spans="1:7">
      <c r="A503" s="3">
        <v>499</v>
      </c>
      <c r="B503" s="3" t="s">
        <v>619</v>
      </c>
      <c r="C503" s="5">
        <v>0</v>
      </c>
      <c r="D503" s="5">
        <v>104.32</v>
      </c>
      <c r="E503" s="6">
        <v>0</v>
      </c>
      <c r="F503" s="6">
        <v>6.30161176031626e-6</v>
      </c>
      <c r="G503" s="3"/>
    </row>
    <row r="504" spans="1:7">
      <c r="A504" s="3">
        <v>500</v>
      </c>
      <c r="B504" s="3" t="s">
        <v>620</v>
      </c>
      <c r="C504" s="5">
        <v>282.61</v>
      </c>
      <c r="D504" s="5">
        <v>103.93</v>
      </c>
      <c r="E504" s="6">
        <v>1.45977916756624e-5</v>
      </c>
      <c r="F504" s="6">
        <v>6.27805320408041e-6</v>
      </c>
      <c r="G504" s="8">
        <v>-0.632249389618202</v>
      </c>
    </row>
    <row r="505" spans="1:7">
      <c r="A505" s="3">
        <v>501</v>
      </c>
      <c r="B505" s="3" t="s">
        <v>621</v>
      </c>
      <c r="C505" s="5">
        <v>0</v>
      </c>
      <c r="D505" s="5">
        <v>103.34</v>
      </c>
      <c r="E505" s="6">
        <v>0</v>
      </c>
      <c r="F505" s="6">
        <v>6.24241333695439e-6</v>
      </c>
      <c r="G505" s="3"/>
    </row>
    <row r="506" spans="1:7">
      <c r="A506" s="3">
        <v>502</v>
      </c>
      <c r="B506" s="3" t="s">
        <v>622</v>
      </c>
      <c r="C506" s="5">
        <v>0</v>
      </c>
      <c r="D506" s="5">
        <v>102.95</v>
      </c>
      <c r="E506" s="6">
        <v>0</v>
      </c>
      <c r="F506" s="6">
        <v>6.21885478071855e-6</v>
      </c>
      <c r="G506" s="3"/>
    </row>
    <row r="507" spans="1:7">
      <c r="A507" s="3">
        <v>503</v>
      </c>
      <c r="B507" s="3" t="s">
        <v>623</v>
      </c>
      <c r="C507" s="5">
        <v>89.25</v>
      </c>
      <c r="D507" s="5">
        <v>102.66</v>
      </c>
      <c r="E507" s="6">
        <v>4.61007362461651e-6</v>
      </c>
      <c r="F507" s="6">
        <v>6.20133687992779e-6</v>
      </c>
      <c r="G507" s="7">
        <v>0.150252100840336</v>
      </c>
    </row>
    <row r="508" spans="1:7">
      <c r="A508" s="3">
        <v>504</v>
      </c>
      <c r="B508" s="3" t="s">
        <v>624</v>
      </c>
      <c r="C508" s="5">
        <v>24.69</v>
      </c>
      <c r="D508" s="5">
        <v>101.54</v>
      </c>
      <c r="E508" s="6">
        <v>1.27532456909559e-6</v>
      </c>
      <c r="F508" s="6">
        <v>6.1336815389428e-6</v>
      </c>
      <c r="G508" s="7">
        <v>3.1125961927906</v>
      </c>
    </row>
    <row r="509" spans="1:7">
      <c r="A509" s="3">
        <v>505</v>
      </c>
      <c r="B509" s="3" t="s">
        <v>625</v>
      </c>
      <c r="C509" s="5">
        <v>123.46</v>
      </c>
      <c r="D509" s="5">
        <v>99.5</v>
      </c>
      <c r="E509" s="6">
        <v>6.37713938033786e-6</v>
      </c>
      <c r="F509" s="6">
        <v>6.010452167863e-6</v>
      </c>
      <c r="G509" s="8">
        <v>-0.194070954155192</v>
      </c>
    </row>
    <row r="510" spans="1:7">
      <c r="A510" s="3">
        <v>506</v>
      </c>
      <c r="B510" s="3" t="s">
        <v>626</v>
      </c>
      <c r="C510" s="5">
        <v>0</v>
      </c>
      <c r="D510" s="5">
        <v>99</v>
      </c>
      <c r="E510" s="6">
        <v>0</v>
      </c>
      <c r="F510" s="6">
        <v>5.98024889063756e-6</v>
      </c>
      <c r="G510" s="3"/>
    </row>
    <row r="511" spans="1:7">
      <c r="A511" s="3">
        <v>507</v>
      </c>
      <c r="B511" s="3" t="s">
        <v>627</v>
      </c>
      <c r="C511" s="5">
        <v>39.87</v>
      </c>
      <c r="D511" s="5">
        <v>97.64</v>
      </c>
      <c r="E511" s="6">
        <v>2.05942448642532e-6</v>
      </c>
      <c r="F511" s="6">
        <v>5.89809597658435e-6</v>
      </c>
      <c r="G511" s="7">
        <v>1.44895911713068</v>
      </c>
    </row>
    <row r="512" spans="1:7">
      <c r="A512" s="3">
        <v>508</v>
      </c>
      <c r="B512" s="3" t="s">
        <v>628</v>
      </c>
      <c r="C512" s="5">
        <v>69.04</v>
      </c>
      <c r="D512" s="5">
        <v>96.54</v>
      </c>
      <c r="E512" s="6">
        <v>3.56615667275657e-6</v>
      </c>
      <c r="F512" s="6">
        <v>5.83164876668838e-6</v>
      </c>
      <c r="G512" s="7">
        <v>0.398319814600232</v>
      </c>
    </row>
    <row r="513" spans="1:7">
      <c r="A513" s="3">
        <v>509</v>
      </c>
      <c r="B513" s="3" t="s">
        <v>629</v>
      </c>
      <c r="C513" s="5">
        <v>18.99</v>
      </c>
      <c r="D513" s="5">
        <v>94.95</v>
      </c>
      <c r="E513" s="6">
        <v>9.80899698952017e-7</v>
      </c>
      <c r="F513" s="6">
        <v>5.73560234511147e-6</v>
      </c>
      <c r="G513" s="7">
        <v>4</v>
      </c>
    </row>
    <row r="514" spans="1:7">
      <c r="A514" s="3">
        <v>510</v>
      </c>
      <c r="B514" s="3" t="s">
        <v>630</v>
      </c>
      <c r="C514" s="5">
        <v>450.75</v>
      </c>
      <c r="D514" s="5">
        <v>94.95</v>
      </c>
      <c r="E514" s="6">
        <v>2.3282808810038e-5</v>
      </c>
      <c r="F514" s="6">
        <v>5.73560234511147e-6</v>
      </c>
      <c r="G514" s="8">
        <v>-0.789351081530782</v>
      </c>
    </row>
    <row r="515" spans="1:7">
      <c r="A515" s="3">
        <v>511</v>
      </c>
      <c r="B515" s="3" t="s">
        <v>631</v>
      </c>
      <c r="C515" s="5">
        <v>0</v>
      </c>
      <c r="D515" s="5">
        <v>93.37</v>
      </c>
      <c r="E515" s="6">
        <v>0</v>
      </c>
      <c r="F515" s="6">
        <v>5.64015998907908e-6</v>
      </c>
      <c r="G515" s="3"/>
    </row>
    <row r="516" spans="1:7">
      <c r="A516" s="3">
        <v>512</v>
      </c>
      <c r="B516" s="3" t="s">
        <v>632</v>
      </c>
      <c r="C516" s="5">
        <v>487.81</v>
      </c>
      <c r="D516" s="5">
        <v>90.49</v>
      </c>
      <c r="E516" s="6">
        <v>2.51970870008311e-5</v>
      </c>
      <c r="F516" s="6">
        <v>5.46618911226053e-6</v>
      </c>
      <c r="G516" s="8">
        <v>-0.814497447776798</v>
      </c>
    </row>
    <row r="517" spans="1:7">
      <c r="A517" s="3">
        <v>513</v>
      </c>
      <c r="B517" s="3" t="s">
        <v>633</v>
      </c>
      <c r="C517" s="5">
        <v>0</v>
      </c>
      <c r="D517" s="5">
        <v>90.48</v>
      </c>
      <c r="E517" s="6">
        <v>0</v>
      </c>
      <c r="F517" s="6">
        <v>5.46558504671602e-6</v>
      </c>
      <c r="G517" s="3"/>
    </row>
    <row r="518" spans="1:7">
      <c r="A518" s="3">
        <v>514</v>
      </c>
      <c r="B518" s="3" t="s">
        <v>634</v>
      </c>
      <c r="C518" s="5">
        <v>161</v>
      </c>
      <c r="D518" s="5">
        <v>90.41</v>
      </c>
      <c r="E518" s="6">
        <v>8.31621124440625e-6</v>
      </c>
      <c r="F518" s="6">
        <v>5.46135658790446e-6</v>
      </c>
      <c r="G518" s="8">
        <v>-0.438447204968944</v>
      </c>
    </row>
    <row r="519" spans="1:7">
      <c r="A519" s="3">
        <v>515</v>
      </c>
      <c r="B519" s="3" t="s">
        <v>635</v>
      </c>
      <c r="C519" s="5">
        <v>426.12</v>
      </c>
      <c r="D519" s="5">
        <v>90.2</v>
      </c>
      <c r="E519" s="6">
        <v>2.20105834501018e-5</v>
      </c>
      <c r="F519" s="6">
        <v>5.44867121146977e-6</v>
      </c>
      <c r="G519" s="8">
        <v>-0.788322538252135</v>
      </c>
    </row>
    <row r="520" spans="1:7">
      <c r="A520" s="3">
        <v>516</v>
      </c>
      <c r="B520" s="3" t="s">
        <v>636</v>
      </c>
      <c r="C520" s="5">
        <v>0</v>
      </c>
      <c r="D520" s="5">
        <v>89.97</v>
      </c>
      <c r="E520" s="6">
        <v>0</v>
      </c>
      <c r="F520" s="6">
        <v>5.43477770394607e-6</v>
      </c>
      <c r="G520" s="3"/>
    </row>
    <row r="521" spans="1:7">
      <c r="A521" s="3">
        <v>517</v>
      </c>
      <c r="B521" s="3" t="s">
        <v>637</v>
      </c>
      <c r="C521" s="5">
        <v>0</v>
      </c>
      <c r="D521" s="5">
        <v>89.97</v>
      </c>
      <c r="E521" s="6">
        <v>0</v>
      </c>
      <c r="F521" s="6">
        <v>5.43477770394607e-6</v>
      </c>
      <c r="G521" s="3"/>
    </row>
    <row r="522" spans="1:7">
      <c r="A522" s="3">
        <v>518</v>
      </c>
      <c r="B522" s="3" t="s">
        <v>638</v>
      </c>
      <c r="C522" s="5">
        <v>339.83</v>
      </c>
      <c r="D522" s="5">
        <v>89.95</v>
      </c>
      <c r="E522" s="6">
        <v>1.7553404144016e-5</v>
      </c>
      <c r="F522" s="6">
        <v>5.43356957285705e-6</v>
      </c>
      <c r="G522" s="8">
        <v>-0.735308830886031</v>
      </c>
    </row>
    <row r="523" spans="1:7">
      <c r="A523" s="3">
        <v>519</v>
      </c>
      <c r="B523" s="3" t="s">
        <v>639</v>
      </c>
      <c r="C523" s="5">
        <v>0</v>
      </c>
      <c r="D523" s="5">
        <v>89.85</v>
      </c>
      <c r="E523" s="6">
        <v>0</v>
      </c>
      <c r="F523" s="6">
        <v>5.42752891741196e-6</v>
      </c>
      <c r="G523" s="3"/>
    </row>
    <row r="524" spans="1:7">
      <c r="A524" s="3">
        <v>520</v>
      </c>
      <c r="B524" s="3" t="s">
        <v>640</v>
      </c>
      <c r="C524" s="5">
        <v>0</v>
      </c>
      <c r="D524" s="5">
        <v>89.81</v>
      </c>
      <c r="E524" s="6">
        <v>0</v>
      </c>
      <c r="F524" s="6">
        <v>5.42511265523393e-6</v>
      </c>
      <c r="G524" s="3"/>
    </row>
    <row r="525" spans="1:7">
      <c r="A525" s="3">
        <v>521</v>
      </c>
      <c r="B525" s="3" t="s">
        <v>641</v>
      </c>
      <c r="C525" s="5">
        <v>356.05</v>
      </c>
      <c r="D525" s="5">
        <v>86.35</v>
      </c>
      <c r="E525" s="6">
        <v>1.83912236867754e-5</v>
      </c>
      <c r="F525" s="6">
        <v>5.21610597683387e-6</v>
      </c>
      <c r="G525" s="8">
        <v>-0.757477882319899</v>
      </c>
    </row>
    <row r="526" spans="1:7">
      <c r="A526" s="3">
        <v>522</v>
      </c>
      <c r="B526" s="3" t="s">
        <v>642</v>
      </c>
      <c r="C526" s="5">
        <v>0</v>
      </c>
      <c r="D526" s="5">
        <v>83.08</v>
      </c>
      <c r="E526" s="6">
        <v>0</v>
      </c>
      <c r="F526" s="6">
        <v>5.01857654377948e-6</v>
      </c>
      <c r="G526" s="3"/>
    </row>
    <row r="527" spans="1:7">
      <c r="A527" s="3">
        <v>523</v>
      </c>
      <c r="B527" s="3" t="s">
        <v>643</v>
      </c>
      <c r="C527" s="5">
        <v>129.27</v>
      </c>
      <c r="D527" s="5">
        <v>81.36</v>
      </c>
      <c r="E527" s="6">
        <v>6.67724613394035e-6</v>
      </c>
      <c r="F527" s="6">
        <v>4.91467727012395e-6</v>
      </c>
      <c r="G527" s="8">
        <v>-0.370619633325598</v>
      </c>
    </row>
    <row r="528" spans="1:7">
      <c r="A528" s="3">
        <v>524</v>
      </c>
      <c r="B528" s="3" t="s">
        <v>644</v>
      </c>
      <c r="C528" s="5">
        <v>0</v>
      </c>
      <c r="D528" s="5">
        <v>81.29</v>
      </c>
      <c r="E528" s="6">
        <v>0</v>
      </c>
      <c r="F528" s="6">
        <v>4.91044881131239e-6</v>
      </c>
      <c r="G528" s="3"/>
    </row>
    <row r="529" spans="1:7">
      <c r="A529" s="3">
        <v>525</v>
      </c>
      <c r="B529" s="3" t="s">
        <v>645</v>
      </c>
      <c r="C529" s="5">
        <v>1385.47</v>
      </c>
      <c r="D529" s="5">
        <v>79.95</v>
      </c>
      <c r="E529" s="6">
        <v>7.15643552347051e-5</v>
      </c>
      <c r="F529" s="6">
        <v>4.82950402834821e-6</v>
      </c>
      <c r="G529" s="8">
        <v>-0.942293950789263</v>
      </c>
    </row>
    <row r="530" spans="1:7">
      <c r="A530" s="3">
        <v>526</v>
      </c>
      <c r="B530" s="3" t="s">
        <v>646</v>
      </c>
      <c r="C530" s="5">
        <v>15.32</v>
      </c>
      <c r="D530" s="5">
        <v>79.68</v>
      </c>
      <c r="E530" s="6">
        <v>7.91331405368346e-7</v>
      </c>
      <c r="F530" s="6">
        <v>4.81319425864647e-6</v>
      </c>
      <c r="G530" s="7">
        <v>4.20104438642298</v>
      </c>
    </row>
    <row r="531" spans="1:7">
      <c r="A531" s="3">
        <v>527</v>
      </c>
      <c r="B531" s="3" t="s">
        <v>647</v>
      </c>
      <c r="C531" s="5">
        <v>62.54</v>
      </c>
      <c r="D531" s="5">
        <v>79.67</v>
      </c>
      <c r="E531" s="6">
        <v>3.23040901382091e-6</v>
      </c>
      <c r="F531" s="6">
        <v>4.81259019310196e-6</v>
      </c>
      <c r="G531" s="7">
        <v>0.273904700991365</v>
      </c>
    </row>
    <row r="532" spans="1:7">
      <c r="A532" s="3">
        <v>528</v>
      </c>
      <c r="B532" s="3" t="s">
        <v>648</v>
      </c>
      <c r="C532" s="5">
        <v>43.42</v>
      </c>
      <c r="D532" s="5">
        <v>78.46</v>
      </c>
      <c r="E532" s="6">
        <v>2.24279436169018e-6</v>
      </c>
      <c r="F532" s="6">
        <v>4.73949826221639e-6</v>
      </c>
      <c r="G532" s="7">
        <v>0.807001381851681</v>
      </c>
    </row>
    <row r="533" spans="1:7">
      <c r="A533" s="3">
        <v>529</v>
      </c>
      <c r="B533" s="3" t="s">
        <v>649</v>
      </c>
      <c r="C533" s="5">
        <v>288.43</v>
      </c>
      <c r="D533" s="5">
        <v>77.98</v>
      </c>
      <c r="E533" s="6">
        <v>1.48984149641248e-5</v>
      </c>
      <c r="F533" s="6">
        <v>4.71050311607997e-6</v>
      </c>
      <c r="G533" s="8">
        <v>-0.729639773948618</v>
      </c>
    </row>
    <row r="534" spans="1:7">
      <c r="A534" s="3">
        <v>530</v>
      </c>
      <c r="B534" s="3" t="s">
        <v>650</v>
      </c>
      <c r="C534" s="5">
        <v>356.06</v>
      </c>
      <c r="D534" s="5">
        <v>77.08</v>
      </c>
      <c r="E534" s="6">
        <v>1.83917402216353e-5</v>
      </c>
      <c r="F534" s="6">
        <v>4.65613721707417e-6</v>
      </c>
      <c r="G534" s="8">
        <v>-0.783519631522777</v>
      </c>
    </row>
    <row r="535" spans="1:7">
      <c r="A535" s="3">
        <v>531</v>
      </c>
      <c r="B535" s="3" t="s">
        <v>651</v>
      </c>
      <c r="C535" s="5">
        <v>4639.15</v>
      </c>
      <c r="D535" s="5">
        <v>76.95</v>
      </c>
      <c r="E535" s="6">
        <v>0.000239628269530977</v>
      </c>
      <c r="F535" s="6">
        <v>4.64828436499555e-6</v>
      </c>
      <c r="G535" s="8">
        <v>-0.983412909692508</v>
      </c>
    </row>
    <row r="536" spans="1:7">
      <c r="A536" s="3">
        <v>532</v>
      </c>
      <c r="B536" s="3" t="s">
        <v>652</v>
      </c>
      <c r="C536" s="5">
        <v>0</v>
      </c>
      <c r="D536" s="5">
        <v>75.98</v>
      </c>
      <c r="E536" s="6">
        <v>0</v>
      </c>
      <c r="F536" s="6">
        <v>4.5896900071782e-6</v>
      </c>
      <c r="G536" s="3"/>
    </row>
    <row r="537" spans="1:7">
      <c r="A537" s="3">
        <v>533</v>
      </c>
      <c r="B537" s="3" t="s">
        <v>653</v>
      </c>
      <c r="C537" s="5">
        <v>0</v>
      </c>
      <c r="D537" s="5">
        <v>75.48</v>
      </c>
      <c r="E537" s="6">
        <v>0</v>
      </c>
      <c r="F537" s="6">
        <v>4.55948672995275e-6</v>
      </c>
      <c r="G537" s="3"/>
    </row>
    <row r="538" spans="1:7">
      <c r="A538" s="3">
        <v>534</v>
      </c>
      <c r="B538" s="3" t="s">
        <v>654</v>
      </c>
      <c r="C538" s="5">
        <v>0</v>
      </c>
      <c r="D538" s="5">
        <v>74.97</v>
      </c>
      <c r="E538" s="6">
        <v>0</v>
      </c>
      <c r="F538" s="6">
        <v>4.5286793871828e-6</v>
      </c>
      <c r="G538" s="3"/>
    </row>
    <row r="539" spans="1:7">
      <c r="A539" s="3">
        <v>535</v>
      </c>
      <c r="B539" s="3" t="s">
        <v>655</v>
      </c>
      <c r="C539" s="5">
        <v>143.88</v>
      </c>
      <c r="D539" s="5">
        <v>74.48</v>
      </c>
      <c r="E539" s="6">
        <v>7.43190356425572e-6</v>
      </c>
      <c r="F539" s="6">
        <v>4.49908017550187e-6</v>
      </c>
      <c r="G539" s="8">
        <v>-0.482346399777592</v>
      </c>
    </row>
    <row r="540" spans="1:7">
      <c r="A540" s="3">
        <v>536</v>
      </c>
      <c r="B540" s="3" t="s">
        <v>656</v>
      </c>
      <c r="C540" s="5">
        <v>83.38</v>
      </c>
      <c r="D540" s="5">
        <v>72.34</v>
      </c>
      <c r="E540" s="6">
        <v>4.30686766185462e-6</v>
      </c>
      <c r="F540" s="6">
        <v>4.36981014897698e-6</v>
      </c>
      <c r="G540" s="8">
        <v>-0.132405852722475</v>
      </c>
    </row>
    <row r="541" spans="1:7">
      <c r="A541" s="3">
        <v>537</v>
      </c>
      <c r="B541" s="3" t="s">
        <v>657</v>
      </c>
      <c r="C541" s="5">
        <v>72.83</v>
      </c>
      <c r="D541" s="5">
        <v>71.92</v>
      </c>
      <c r="E541" s="6">
        <v>3.76192338465905e-6</v>
      </c>
      <c r="F541" s="6">
        <v>4.34443939610761e-6</v>
      </c>
      <c r="G541" s="8">
        <v>-0.01249485102293</v>
      </c>
    </row>
    <row r="542" spans="1:7">
      <c r="A542" s="3">
        <v>538</v>
      </c>
      <c r="B542" s="3" t="s">
        <v>658</v>
      </c>
      <c r="C542" s="5">
        <v>146.37</v>
      </c>
      <c r="D542" s="5">
        <v>71.85</v>
      </c>
      <c r="E542" s="6">
        <v>7.56052074437107e-6</v>
      </c>
      <c r="F542" s="6">
        <v>4.34021093729604e-6</v>
      </c>
      <c r="G542" s="8">
        <v>-0.509120721459315</v>
      </c>
    </row>
    <row r="543" spans="1:7">
      <c r="A543" s="3">
        <v>539</v>
      </c>
      <c r="B543" s="3" t="s">
        <v>659</v>
      </c>
      <c r="C543" s="5">
        <v>24052.86</v>
      </c>
      <c r="D543" s="5">
        <v>71.37</v>
      </c>
      <c r="E543" s="6">
        <v>0.00124241406703186</v>
      </c>
      <c r="F543" s="6">
        <v>4.31121579115962e-6</v>
      </c>
      <c r="G543" s="8">
        <v>-0.997032785290398</v>
      </c>
    </row>
    <row r="544" spans="1:7">
      <c r="A544" s="3">
        <v>540</v>
      </c>
      <c r="B544" s="3" t="s">
        <v>660</v>
      </c>
      <c r="C544" s="5">
        <v>37.66</v>
      </c>
      <c r="D544" s="5">
        <v>71.16</v>
      </c>
      <c r="E544" s="6">
        <v>1.9452702823872e-6</v>
      </c>
      <c r="F544" s="6">
        <v>4.29853041472493e-6</v>
      </c>
      <c r="G544" s="7">
        <v>0.889537971322358</v>
      </c>
    </row>
    <row r="545" spans="1:7">
      <c r="A545" s="3">
        <v>541</v>
      </c>
      <c r="B545" s="3" t="s">
        <v>661</v>
      </c>
      <c r="C545" s="5">
        <v>101.94</v>
      </c>
      <c r="D545" s="5">
        <v>70.95</v>
      </c>
      <c r="E545" s="6">
        <v>5.26555636183089e-6</v>
      </c>
      <c r="F545" s="6">
        <v>4.28584503829025e-6</v>
      </c>
      <c r="G545" s="8">
        <v>-0.304002354326074</v>
      </c>
    </row>
    <row r="546" spans="1:7">
      <c r="A546" s="3">
        <v>542</v>
      </c>
      <c r="B546" s="3" t="s">
        <v>662</v>
      </c>
      <c r="C546" s="5">
        <v>0</v>
      </c>
      <c r="D546" s="5">
        <v>70.76</v>
      </c>
      <c r="E546" s="6">
        <v>0</v>
      </c>
      <c r="F546" s="6">
        <v>4.27436779294458e-6</v>
      </c>
      <c r="G546" s="3"/>
    </row>
    <row r="547" spans="1:7">
      <c r="A547" s="3">
        <v>543</v>
      </c>
      <c r="B547" s="3" t="s">
        <v>663</v>
      </c>
      <c r="C547" s="5">
        <v>221.55</v>
      </c>
      <c r="D547" s="5">
        <v>69.99</v>
      </c>
      <c r="E547" s="6">
        <v>1.14438298211069e-5</v>
      </c>
      <c r="F547" s="6">
        <v>4.2278547460174e-6</v>
      </c>
      <c r="G547" s="8">
        <v>-0.684089370345295</v>
      </c>
    </row>
    <row r="548" spans="1:7">
      <c r="A548" s="3">
        <v>544</v>
      </c>
      <c r="B548" s="3" t="s">
        <v>664</v>
      </c>
      <c r="C548" s="5">
        <v>2107.06</v>
      </c>
      <c r="D548" s="5">
        <v>69.93</v>
      </c>
      <c r="E548" s="6">
        <v>0.000108836994190302</v>
      </c>
      <c r="F548" s="6">
        <v>4.22423035275035e-6</v>
      </c>
      <c r="G548" s="8">
        <v>-0.966811576319611</v>
      </c>
    </row>
    <row r="549" spans="1:7">
      <c r="A549" s="3">
        <v>545</v>
      </c>
      <c r="B549" s="3" t="s">
        <v>665</v>
      </c>
      <c r="C549" s="5">
        <v>0</v>
      </c>
      <c r="D549" s="5">
        <v>69.32</v>
      </c>
      <c r="E549" s="6">
        <v>0</v>
      </c>
      <c r="F549" s="6">
        <v>4.18738235453531e-6</v>
      </c>
      <c r="G549" s="3"/>
    </row>
    <row r="550" spans="1:7">
      <c r="A550" s="3">
        <v>546</v>
      </c>
      <c r="B550" s="3" t="s">
        <v>666</v>
      </c>
      <c r="C550" s="5">
        <v>36.39</v>
      </c>
      <c r="D550" s="5">
        <v>67.98</v>
      </c>
      <c r="E550" s="6">
        <v>1.87967035517977e-6</v>
      </c>
      <c r="F550" s="6">
        <v>4.10643757157112e-6</v>
      </c>
      <c r="G550" s="7">
        <v>0.868095630667766</v>
      </c>
    </row>
    <row r="551" spans="1:7">
      <c r="A551" s="3">
        <v>547</v>
      </c>
      <c r="B551" s="3" t="s">
        <v>667</v>
      </c>
      <c r="C551" s="5">
        <v>98.02</v>
      </c>
      <c r="D551" s="5">
        <v>67.76</v>
      </c>
      <c r="E551" s="6">
        <v>5.06307469674969e-6</v>
      </c>
      <c r="F551" s="6">
        <v>4.09314812959193e-6</v>
      </c>
      <c r="G551" s="8">
        <v>-0.3087125076515</v>
      </c>
    </row>
    <row r="552" spans="1:7">
      <c r="A552" s="3">
        <v>548</v>
      </c>
      <c r="B552" s="3" t="s">
        <v>668</v>
      </c>
      <c r="C552" s="5">
        <v>258.76</v>
      </c>
      <c r="D552" s="5">
        <v>67.3</v>
      </c>
      <c r="E552" s="6">
        <v>1.33658560347985e-5</v>
      </c>
      <c r="F552" s="6">
        <v>4.06536111454452e-6</v>
      </c>
      <c r="G552" s="8">
        <v>-0.739913433297264</v>
      </c>
    </row>
    <row r="553" spans="1:7">
      <c r="A553" s="3">
        <v>549</v>
      </c>
      <c r="B553" s="3" t="s">
        <v>669</v>
      </c>
      <c r="C553" s="5">
        <v>48.6</v>
      </c>
      <c r="D553" s="5">
        <v>66.62</v>
      </c>
      <c r="E553" s="6">
        <v>2.5103594191189e-6</v>
      </c>
      <c r="F553" s="6">
        <v>4.02428465751792e-6</v>
      </c>
      <c r="G553" s="7">
        <v>0.370781893004115</v>
      </c>
    </row>
    <row r="554" spans="1:7">
      <c r="A554" s="3">
        <v>550</v>
      </c>
      <c r="B554" s="3" t="s">
        <v>670</v>
      </c>
      <c r="C554" s="5">
        <v>997.55</v>
      </c>
      <c r="D554" s="5">
        <v>65.48</v>
      </c>
      <c r="E554" s="6">
        <v>5.15269349494252e-5</v>
      </c>
      <c r="F554" s="6">
        <v>3.95542118544391e-6</v>
      </c>
      <c r="G554" s="8">
        <v>-0.934359179990978</v>
      </c>
    </row>
    <row r="555" spans="1:7">
      <c r="A555" s="3">
        <v>551</v>
      </c>
      <c r="B555" s="3" t="s">
        <v>671</v>
      </c>
      <c r="C555" s="5">
        <v>291.39</v>
      </c>
      <c r="D555" s="5">
        <v>64.71</v>
      </c>
      <c r="E555" s="6">
        <v>1.50513092826555e-5</v>
      </c>
      <c r="F555" s="6">
        <v>3.90890813851673e-6</v>
      </c>
      <c r="G555" s="8">
        <v>-0.777926490270771</v>
      </c>
    </row>
    <row r="556" spans="1:7">
      <c r="A556" s="3">
        <v>552</v>
      </c>
      <c r="B556" s="3" t="s">
        <v>672</v>
      </c>
      <c r="C556" s="5">
        <v>0</v>
      </c>
      <c r="D556" s="5">
        <v>64.49</v>
      </c>
      <c r="E556" s="6">
        <v>0</v>
      </c>
      <c r="F556" s="6">
        <v>3.89561869653753e-6</v>
      </c>
      <c r="G556" s="3"/>
    </row>
    <row r="557" spans="1:7">
      <c r="A557" s="3">
        <v>553</v>
      </c>
      <c r="B557" s="3" t="s">
        <v>673</v>
      </c>
      <c r="C557" s="5">
        <v>32.14</v>
      </c>
      <c r="D557" s="5">
        <v>64.01</v>
      </c>
      <c r="E557" s="6">
        <v>1.66014303972184e-6</v>
      </c>
      <c r="F557" s="6">
        <v>3.86662355040111e-6</v>
      </c>
      <c r="G557" s="7">
        <v>0.991599253266957</v>
      </c>
    </row>
    <row r="558" spans="1:7">
      <c r="A558" s="3">
        <v>554</v>
      </c>
      <c r="B558" s="3" t="s">
        <v>674</v>
      </c>
      <c r="C558" s="5">
        <v>0</v>
      </c>
      <c r="D558" s="5">
        <v>63.84</v>
      </c>
      <c r="E558" s="6">
        <v>0</v>
      </c>
      <c r="F558" s="6">
        <v>3.85635443614446e-6</v>
      </c>
      <c r="G558" s="3"/>
    </row>
    <row r="559" spans="1:7">
      <c r="A559" s="3">
        <v>555</v>
      </c>
      <c r="B559" s="3" t="s">
        <v>675</v>
      </c>
      <c r="C559" s="5">
        <v>179.6</v>
      </c>
      <c r="D559" s="5">
        <v>63.8</v>
      </c>
      <c r="E559" s="6">
        <v>9.27696608382213e-6</v>
      </c>
      <c r="F559" s="6">
        <v>3.85393817396642e-6</v>
      </c>
      <c r="G559" s="8">
        <v>-0.644766146993318</v>
      </c>
    </row>
    <row r="560" spans="1:7">
      <c r="A560" s="3">
        <v>556</v>
      </c>
      <c r="B560" s="3" t="s">
        <v>676</v>
      </c>
      <c r="C560" s="5">
        <v>72.27</v>
      </c>
      <c r="D560" s="5">
        <v>63.1</v>
      </c>
      <c r="E560" s="6">
        <v>3.73299743250459e-6</v>
      </c>
      <c r="F560" s="6">
        <v>3.81165358585081e-6</v>
      </c>
      <c r="G560" s="8">
        <v>-0.126885291268853</v>
      </c>
    </row>
    <row r="561" spans="1:7">
      <c r="A561" s="3">
        <v>557</v>
      </c>
      <c r="B561" s="3" t="s">
        <v>677</v>
      </c>
      <c r="C561" s="5">
        <v>0</v>
      </c>
      <c r="D561" s="5">
        <v>62.78</v>
      </c>
      <c r="E561" s="6">
        <v>0</v>
      </c>
      <c r="F561" s="6">
        <v>3.79232348842652e-6</v>
      </c>
      <c r="G561" s="3"/>
    </row>
    <row r="562" spans="1:7">
      <c r="A562" s="3">
        <v>558</v>
      </c>
      <c r="B562" s="3" t="s">
        <v>678</v>
      </c>
      <c r="C562" s="5">
        <v>0</v>
      </c>
      <c r="D562" s="5">
        <v>60.09</v>
      </c>
      <c r="E562" s="6">
        <v>0</v>
      </c>
      <c r="F562" s="6">
        <v>3.62982985695364e-6</v>
      </c>
      <c r="G562" s="3"/>
    </row>
    <row r="563" spans="1:7">
      <c r="A563" s="3">
        <v>559</v>
      </c>
      <c r="B563" s="3" t="s">
        <v>679</v>
      </c>
      <c r="C563" s="5">
        <v>2469.37</v>
      </c>
      <c r="D563" s="5">
        <v>59.99</v>
      </c>
      <c r="E563" s="6">
        <v>0.000127551568699375</v>
      </c>
      <c r="F563" s="6">
        <v>3.62378920150855e-6</v>
      </c>
      <c r="G563" s="8">
        <v>-0.975706354252299</v>
      </c>
    </row>
    <row r="564" spans="1:7">
      <c r="A564" s="3">
        <v>560</v>
      </c>
      <c r="B564" s="3" t="s">
        <v>680</v>
      </c>
      <c r="C564" s="5">
        <v>179.97</v>
      </c>
      <c r="D564" s="5">
        <v>59.99</v>
      </c>
      <c r="E564" s="6">
        <v>9.29607787363846e-6</v>
      </c>
      <c r="F564" s="6">
        <v>3.62378920150855e-6</v>
      </c>
      <c r="G564" s="8">
        <v>-0.666666666666667</v>
      </c>
    </row>
    <row r="565" spans="1:7">
      <c r="A565" s="3">
        <v>561</v>
      </c>
      <c r="B565" s="3" t="s">
        <v>681</v>
      </c>
      <c r="C565" s="5">
        <v>0</v>
      </c>
      <c r="D565" s="5">
        <v>59.99</v>
      </c>
      <c r="E565" s="6">
        <v>0</v>
      </c>
      <c r="F565" s="6">
        <v>3.62378920150855e-6</v>
      </c>
      <c r="G565" s="3"/>
    </row>
    <row r="566" spans="1:7">
      <c r="A566" s="3">
        <v>562</v>
      </c>
      <c r="B566" s="3" t="s">
        <v>682</v>
      </c>
      <c r="C566" s="5">
        <v>89.97</v>
      </c>
      <c r="D566" s="5">
        <v>59.98</v>
      </c>
      <c r="E566" s="6">
        <v>4.64726413452938e-6</v>
      </c>
      <c r="F566" s="6">
        <v>3.62318513596405e-6</v>
      </c>
      <c r="G566" s="8">
        <v>-0.333333333333333</v>
      </c>
    </row>
    <row r="567" spans="1:7">
      <c r="A567" s="3">
        <v>563</v>
      </c>
      <c r="B567" s="3" t="s">
        <v>683</v>
      </c>
      <c r="C567" s="5">
        <v>0</v>
      </c>
      <c r="D567" s="5">
        <v>59.98</v>
      </c>
      <c r="E567" s="6">
        <v>0</v>
      </c>
      <c r="F567" s="6">
        <v>3.62318513596405e-6</v>
      </c>
      <c r="G567" s="3"/>
    </row>
    <row r="568" spans="1:7">
      <c r="A568" s="3">
        <v>564</v>
      </c>
      <c r="B568" s="3" t="s">
        <v>684</v>
      </c>
      <c r="C568" s="5">
        <v>59.97</v>
      </c>
      <c r="D568" s="5">
        <v>59.97</v>
      </c>
      <c r="E568" s="6">
        <v>3.09765955482635e-6</v>
      </c>
      <c r="F568" s="6">
        <v>3.62258107041954e-6</v>
      </c>
      <c r="G568" s="7">
        <v>0</v>
      </c>
    </row>
    <row r="569" spans="1:7">
      <c r="A569" s="3">
        <v>565</v>
      </c>
      <c r="B569" s="3" t="s">
        <v>685</v>
      </c>
      <c r="C569" s="5">
        <v>0</v>
      </c>
      <c r="D569" s="5">
        <v>59.96</v>
      </c>
      <c r="E569" s="6">
        <v>0</v>
      </c>
      <c r="F569" s="6">
        <v>3.62197700487503e-6</v>
      </c>
      <c r="G569" s="3"/>
    </row>
    <row r="570" spans="1:7">
      <c r="A570" s="3">
        <v>566</v>
      </c>
      <c r="B570" s="3" t="s">
        <v>686</v>
      </c>
      <c r="C570" s="5">
        <v>690.44</v>
      </c>
      <c r="D570" s="5">
        <v>59.66</v>
      </c>
      <c r="E570" s="6">
        <v>3.56636328670053e-5</v>
      </c>
      <c r="F570" s="6">
        <v>3.60385503853976e-6</v>
      </c>
      <c r="G570" s="8">
        <v>-0.913591333062974</v>
      </c>
    </row>
    <row r="571" spans="1:7">
      <c r="A571" s="3">
        <v>567</v>
      </c>
      <c r="B571" s="3" t="s">
        <v>687</v>
      </c>
      <c r="C571" s="5">
        <v>0</v>
      </c>
      <c r="D571" s="5">
        <v>59.43</v>
      </c>
      <c r="E571" s="6">
        <v>0</v>
      </c>
      <c r="F571" s="6">
        <v>3.58996153101606e-6</v>
      </c>
      <c r="G571" s="3"/>
    </row>
    <row r="572" spans="1:7">
      <c r="A572" s="3">
        <v>568</v>
      </c>
      <c r="B572" s="3" t="s">
        <v>688</v>
      </c>
      <c r="C572" s="5">
        <v>0</v>
      </c>
      <c r="D572" s="5">
        <v>58.88</v>
      </c>
      <c r="E572" s="6">
        <v>0</v>
      </c>
      <c r="F572" s="6">
        <v>3.55673792606807e-6</v>
      </c>
      <c r="G572" s="3"/>
    </row>
    <row r="573" spans="1:7">
      <c r="A573" s="3">
        <v>569</v>
      </c>
      <c r="B573" s="3" t="s">
        <v>689</v>
      </c>
      <c r="C573" s="5">
        <v>7547.99</v>
      </c>
      <c r="D573" s="5">
        <v>58.73</v>
      </c>
      <c r="E573" s="6">
        <v>0.000389879995718422</v>
      </c>
      <c r="F573" s="6">
        <v>3.54767694290044e-6</v>
      </c>
      <c r="G573" s="8">
        <v>-0.99221912058707</v>
      </c>
    </row>
    <row r="574" spans="1:7">
      <c r="A574" s="3">
        <v>570</v>
      </c>
      <c r="B574" s="3" t="s">
        <v>690</v>
      </c>
      <c r="C574" s="5">
        <v>194.58</v>
      </c>
      <c r="D574" s="5">
        <v>58.58</v>
      </c>
      <c r="E574" s="6">
        <v>1.00507353039538e-5</v>
      </c>
      <c r="F574" s="6">
        <v>3.53861595973281e-6</v>
      </c>
      <c r="G574" s="8">
        <v>-0.6989413094871</v>
      </c>
    </row>
    <row r="575" spans="1:7">
      <c r="A575" s="3">
        <v>571</v>
      </c>
      <c r="B575" s="3" t="s">
        <v>691</v>
      </c>
      <c r="C575" s="5">
        <v>38.94</v>
      </c>
      <c r="D575" s="5">
        <v>57.17</v>
      </c>
      <c r="E575" s="6">
        <v>2.01138674445453e-6</v>
      </c>
      <c r="F575" s="6">
        <v>3.45344271795706e-6</v>
      </c>
      <c r="G575" s="7">
        <v>0.468156137647663</v>
      </c>
    </row>
    <row r="576" spans="1:7">
      <c r="A576" s="3">
        <v>572</v>
      </c>
      <c r="B576" s="3" t="s">
        <v>692</v>
      </c>
      <c r="C576" s="5">
        <v>35</v>
      </c>
      <c r="D576" s="5">
        <v>57</v>
      </c>
      <c r="E576" s="6">
        <v>1.80787200965353e-6</v>
      </c>
      <c r="F576" s="6">
        <v>3.44317360370041e-6</v>
      </c>
      <c r="G576" s="7">
        <v>0.628571428571429</v>
      </c>
    </row>
    <row r="577" spans="1:7">
      <c r="A577" s="3">
        <v>573</v>
      </c>
      <c r="B577" s="3" t="s">
        <v>693</v>
      </c>
      <c r="C577" s="5">
        <v>87.4</v>
      </c>
      <c r="D577" s="5">
        <v>56.39</v>
      </c>
      <c r="E577" s="6">
        <v>4.51451467553482e-6</v>
      </c>
      <c r="F577" s="6">
        <v>3.40632560548537e-6</v>
      </c>
      <c r="G577" s="8">
        <v>-0.354805491990847</v>
      </c>
    </row>
    <row r="578" spans="1:7">
      <c r="A578" s="3">
        <v>574</v>
      </c>
      <c r="B578" s="3" t="s">
        <v>694</v>
      </c>
      <c r="C578" s="5">
        <v>243.18</v>
      </c>
      <c r="D578" s="5">
        <v>56.19</v>
      </c>
      <c r="E578" s="6">
        <v>1.25610947230727e-5</v>
      </c>
      <c r="F578" s="6">
        <v>3.39424429459519e-6</v>
      </c>
      <c r="G578" s="8">
        <v>-0.768936590180114</v>
      </c>
    </row>
    <row r="579" spans="1:7">
      <c r="A579" s="3">
        <v>575</v>
      </c>
      <c r="B579" s="3" t="s">
        <v>695</v>
      </c>
      <c r="C579" s="5">
        <v>0</v>
      </c>
      <c r="D579" s="5">
        <v>56</v>
      </c>
      <c r="E579" s="6">
        <v>0</v>
      </c>
      <c r="F579" s="6">
        <v>3.38276704924953e-6</v>
      </c>
      <c r="G579" s="3"/>
    </row>
    <row r="580" spans="1:7">
      <c r="A580" s="3">
        <v>576</v>
      </c>
      <c r="B580" s="3" t="s">
        <v>696</v>
      </c>
      <c r="C580" s="5">
        <v>0</v>
      </c>
      <c r="D580" s="5">
        <v>55.98</v>
      </c>
      <c r="E580" s="6">
        <v>0</v>
      </c>
      <c r="F580" s="6">
        <v>3.38155891816051e-6</v>
      </c>
      <c r="G580" s="3"/>
    </row>
    <row r="581" spans="1:7">
      <c r="A581" s="3">
        <v>577</v>
      </c>
      <c r="B581" s="3" t="s">
        <v>697</v>
      </c>
      <c r="C581" s="5">
        <v>0</v>
      </c>
      <c r="D581" s="5">
        <v>55.71</v>
      </c>
      <c r="E581" s="6">
        <v>0</v>
      </c>
      <c r="F581" s="6">
        <v>3.36524914845877e-6</v>
      </c>
      <c r="G581" s="3"/>
    </row>
    <row r="582" spans="1:7">
      <c r="A582" s="3">
        <v>578</v>
      </c>
      <c r="B582" s="3" t="s">
        <v>698</v>
      </c>
      <c r="C582" s="5">
        <v>0</v>
      </c>
      <c r="D582" s="5">
        <v>54.58</v>
      </c>
      <c r="E582" s="6">
        <v>0</v>
      </c>
      <c r="F582" s="6">
        <v>3.29698974192927e-6</v>
      </c>
      <c r="G582" s="3"/>
    </row>
    <row r="583" spans="1:7">
      <c r="A583" s="3">
        <v>579</v>
      </c>
      <c r="B583" s="3" t="s">
        <v>699</v>
      </c>
      <c r="C583" s="5">
        <v>0</v>
      </c>
      <c r="D583" s="5">
        <v>53.98</v>
      </c>
      <c r="E583" s="6">
        <v>0</v>
      </c>
      <c r="F583" s="6">
        <v>3.26074580925874e-6</v>
      </c>
      <c r="G583" s="3"/>
    </row>
    <row r="584" spans="1:7">
      <c r="A584" s="3">
        <v>580</v>
      </c>
      <c r="B584" s="3" t="s">
        <v>700</v>
      </c>
      <c r="C584" s="5">
        <v>139.87</v>
      </c>
      <c r="D584" s="5">
        <v>53.8</v>
      </c>
      <c r="E584" s="6">
        <v>7.22477308543542e-6</v>
      </c>
      <c r="F584" s="6">
        <v>3.24987262945758e-6</v>
      </c>
      <c r="G584" s="8">
        <v>-0.615357117323229</v>
      </c>
    </row>
    <row r="585" spans="1:7">
      <c r="A585" s="3">
        <v>581</v>
      </c>
      <c r="B585" s="3" t="s">
        <v>701</v>
      </c>
      <c r="C585" s="5">
        <v>12.8</v>
      </c>
      <c r="D585" s="5">
        <v>52.65</v>
      </c>
      <c r="E585" s="6">
        <v>6.61164620673292e-7</v>
      </c>
      <c r="F585" s="6">
        <v>3.18040509183906e-6</v>
      </c>
      <c r="G585" s="7">
        <v>3.11328125</v>
      </c>
    </row>
    <row r="586" spans="1:7">
      <c r="A586" s="3">
        <v>582</v>
      </c>
      <c r="B586" s="3" t="s">
        <v>702</v>
      </c>
      <c r="C586" s="5">
        <v>0</v>
      </c>
      <c r="D586" s="5">
        <v>52.56</v>
      </c>
      <c r="E586" s="6">
        <v>0</v>
      </c>
      <c r="F586" s="6">
        <v>3.17496850193848e-6</v>
      </c>
      <c r="G586" s="3"/>
    </row>
    <row r="587" spans="1:7">
      <c r="A587" s="3">
        <v>583</v>
      </c>
      <c r="B587" s="3" t="s">
        <v>703</v>
      </c>
      <c r="C587" s="5">
        <v>57.78</v>
      </c>
      <c r="D587" s="5">
        <v>51.93</v>
      </c>
      <c r="E587" s="6">
        <v>2.98453842050803e-6</v>
      </c>
      <c r="F587" s="6">
        <v>3.13691237263443e-6</v>
      </c>
      <c r="G587" s="8">
        <v>-0.101246105919003</v>
      </c>
    </row>
    <row r="588" spans="1:7">
      <c r="A588" s="3">
        <v>584</v>
      </c>
      <c r="B588" s="3" t="s">
        <v>704</v>
      </c>
      <c r="C588" s="5">
        <v>109.92</v>
      </c>
      <c r="D588" s="5">
        <v>51.48</v>
      </c>
      <c r="E588" s="6">
        <v>5.67775118003189e-6</v>
      </c>
      <c r="F588" s="6">
        <v>3.10972942313153e-6</v>
      </c>
      <c r="G588" s="8">
        <v>-0.531659388646288</v>
      </c>
    </row>
    <row r="589" spans="1:7">
      <c r="A589" s="3">
        <v>585</v>
      </c>
      <c r="B589" s="3" t="s">
        <v>705</v>
      </c>
      <c r="C589" s="5">
        <v>175.37</v>
      </c>
      <c r="D589" s="5">
        <v>50.96</v>
      </c>
      <c r="E589" s="6">
        <v>9.058471838084e-6</v>
      </c>
      <c r="F589" s="6">
        <v>3.07831801481707e-6</v>
      </c>
      <c r="G589" s="8">
        <v>-0.70941438102298</v>
      </c>
    </row>
    <row r="590" spans="1:7">
      <c r="A590" s="3">
        <v>586</v>
      </c>
      <c r="B590" s="3" t="s">
        <v>706</v>
      </c>
      <c r="C590" s="5">
        <v>16.98</v>
      </c>
      <c r="D590" s="5">
        <v>50.94</v>
      </c>
      <c r="E590" s="6">
        <v>8.77076192111914e-7</v>
      </c>
      <c r="F590" s="6">
        <v>3.07710988372805e-6</v>
      </c>
      <c r="G590" s="7">
        <v>2</v>
      </c>
    </row>
    <row r="591" spans="1:7">
      <c r="A591" s="3">
        <v>587</v>
      </c>
      <c r="B591" s="3" t="s">
        <v>707</v>
      </c>
      <c r="C591" s="5">
        <v>1395.38</v>
      </c>
      <c r="D591" s="5">
        <v>50.52</v>
      </c>
      <c r="E591" s="6">
        <v>7.2076241280867e-5</v>
      </c>
      <c r="F591" s="6">
        <v>3.05173913085868e-6</v>
      </c>
      <c r="G591" s="8">
        <v>-0.963794808582608</v>
      </c>
    </row>
    <row r="592" spans="1:7">
      <c r="A592" s="3">
        <v>588</v>
      </c>
      <c r="B592" s="3" t="s">
        <v>708</v>
      </c>
      <c r="C592" s="5">
        <v>99.96</v>
      </c>
      <c r="D592" s="5">
        <v>49.98</v>
      </c>
      <c r="E592" s="6">
        <v>5.16328245957049e-6</v>
      </c>
      <c r="F592" s="6">
        <v>3.0191195914552e-6</v>
      </c>
      <c r="G592" s="8">
        <v>-0.5</v>
      </c>
    </row>
    <row r="593" spans="1:7">
      <c r="A593" s="3">
        <v>589</v>
      </c>
      <c r="B593" s="3" t="s">
        <v>709</v>
      </c>
      <c r="C593" s="5">
        <v>130.7</v>
      </c>
      <c r="D593" s="5">
        <v>49.82</v>
      </c>
      <c r="E593" s="6">
        <v>6.75111061890619e-6</v>
      </c>
      <c r="F593" s="6">
        <v>3.00945454274306e-6</v>
      </c>
      <c r="G593" s="8">
        <v>-0.618821729150727</v>
      </c>
    </row>
    <row r="594" spans="1:7">
      <c r="A594" s="3">
        <v>590</v>
      </c>
      <c r="B594" s="3" t="s">
        <v>710</v>
      </c>
      <c r="C594" s="5">
        <v>0</v>
      </c>
      <c r="D594" s="5">
        <v>49.69</v>
      </c>
      <c r="E594" s="6">
        <v>0</v>
      </c>
      <c r="F594" s="6">
        <v>3.00160169066445e-6</v>
      </c>
      <c r="G594" s="3"/>
    </row>
    <row r="595" spans="1:7">
      <c r="A595" s="3">
        <v>591</v>
      </c>
      <c r="B595" s="3" t="s">
        <v>711</v>
      </c>
      <c r="C595" s="5">
        <v>63.2</v>
      </c>
      <c r="D595" s="5">
        <v>49.11</v>
      </c>
      <c r="E595" s="6">
        <v>3.26450031457438e-6</v>
      </c>
      <c r="F595" s="6">
        <v>2.96656588908293e-6</v>
      </c>
      <c r="G595" s="8">
        <v>-0.222943037974684</v>
      </c>
    </row>
    <row r="596" spans="1:7">
      <c r="A596" s="3">
        <v>592</v>
      </c>
      <c r="B596" s="3" t="s">
        <v>712</v>
      </c>
      <c r="C596" s="5">
        <v>0</v>
      </c>
      <c r="D596" s="5">
        <v>49</v>
      </c>
      <c r="E596" s="6">
        <v>0</v>
      </c>
      <c r="F596" s="6">
        <v>2.95992116809333e-6</v>
      </c>
      <c r="G596" s="3"/>
    </row>
    <row r="597" spans="1:7">
      <c r="A597" s="3">
        <v>593</v>
      </c>
      <c r="B597" s="3" t="s">
        <v>713</v>
      </c>
      <c r="C597" s="5">
        <v>0</v>
      </c>
      <c r="D597" s="5">
        <v>48.94</v>
      </c>
      <c r="E597" s="6">
        <v>0</v>
      </c>
      <c r="F597" s="6">
        <v>2.95629677482628e-6</v>
      </c>
      <c r="G597" s="3"/>
    </row>
    <row r="598" spans="1:7">
      <c r="A598" s="3">
        <v>594</v>
      </c>
      <c r="B598" s="3" t="s">
        <v>714</v>
      </c>
      <c r="C598" s="5">
        <v>202.16</v>
      </c>
      <c r="D598" s="5">
        <v>48.76</v>
      </c>
      <c r="E598" s="6">
        <v>1.04422687277588e-5</v>
      </c>
      <c r="F598" s="6">
        <v>2.94542359502512e-6</v>
      </c>
      <c r="G598" s="8">
        <v>-0.758804907004353</v>
      </c>
    </row>
    <row r="599" spans="1:7">
      <c r="A599" s="3">
        <v>595</v>
      </c>
      <c r="B599" s="3" t="s">
        <v>715</v>
      </c>
      <c r="C599" s="5">
        <v>0</v>
      </c>
      <c r="D599" s="5">
        <v>48.58</v>
      </c>
      <c r="E599" s="6">
        <v>0</v>
      </c>
      <c r="F599" s="6">
        <v>2.93455041522396e-6</v>
      </c>
      <c r="G599" s="3"/>
    </row>
    <row r="600" spans="1:7">
      <c r="A600" s="3">
        <v>596</v>
      </c>
      <c r="B600" s="3" t="s">
        <v>716</v>
      </c>
      <c r="C600" s="5">
        <v>45.98</v>
      </c>
      <c r="D600" s="5">
        <v>47.98</v>
      </c>
      <c r="E600" s="6">
        <v>2.37502728582484e-6</v>
      </c>
      <c r="F600" s="6">
        <v>2.89830648255343e-6</v>
      </c>
      <c r="G600" s="7">
        <v>0.0434971726837756</v>
      </c>
    </row>
    <row r="601" spans="1:7">
      <c r="A601" s="3">
        <v>597</v>
      </c>
      <c r="B601" s="3" t="s">
        <v>717</v>
      </c>
      <c r="C601" s="5">
        <v>159.6</v>
      </c>
      <c r="D601" s="5">
        <v>47.07</v>
      </c>
      <c r="E601" s="6">
        <v>8.24389636402011e-6</v>
      </c>
      <c r="F601" s="6">
        <v>2.84333651800313e-6</v>
      </c>
      <c r="G601" s="8">
        <v>-0.705075187969925</v>
      </c>
    </row>
    <row r="602" spans="1:7">
      <c r="A602" s="3">
        <v>598</v>
      </c>
      <c r="B602" s="3" t="s">
        <v>718</v>
      </c>
      <c r="C602" s="5">
        <v>1637.72</v>
      </c>
      <c r="D602" s="5">
        <v>45.99</v>
      </c>
      <c r="E602" s="6">
        <v>8.45939470757081e-5</v>
      </c>
      <c r="F602" s="6">
        <v>2.77809743919617e-6</v>
      </c>
      <c r="G602" s="8">
        <v>-0.971918276628484</v>
      </c>
    </row>
    <row r="603" spans="1:7">
      <c r="A603" s="3">
        <v>599</v>
      </c>
      <c r="B603" s="3" t="s">
        <v>719</v>
      </c>
      <c r="C603" s="5">
        <v>754.86</v>
      </c>
      <c r="D603" s="5">
        <v>45.97</v>
      </c>
      <c r="E603" s="6">
        <v>3.89911504344876e-5</v>
      </c>
      <c r="F603" s="6">
        <v>2.77688930810716e-6</v>
      </c>
      <c r="G603" s="8">
        <v>-0.939101290305487</v>
      </c>
    </row>
    <row r="604" spans="1:7">
      <c r="A604" s="3">
        <v>600</v>
      </c>
      <c r="B604" s="3" t="s">
        <v>720</v>
      </c>
      <c r="C604" s="5">
        <v>0</v>
      </c>
      <c r="D604" s="5">
        <v>45.22</v>
      </c>
      <c r="E604" s="6">
        <v>0</v>
      </c>
      <c r="F604" s="6">
        <v>2.73158439226899e-6</v>
      </c>
      <c r="G604" s="3"/>
    </row>
    <row r="605" spans="1:7">
      <c r="A605" s="3">
        <v>601</v>
      </c>
      <c r="B605" s="3" t="s">
        <v>721</v>
      </c>
      <c r="C605" s="5">
        <v>1248.31</v>
      </c>
      <c r="D605" s="5">
        <v>45.09</v>
      </c>
      <c r="E605" s="6">
        <v>6.44795630963029e-5</v>
      </c>
      <c r="F605" s="6">
        <v>2.72373154019038e-6</v>
      </c>
      <c r="G605" s="8">
        <v>-0.963879164630581</v>
      </c>
    </row>
    <row r="606" spans="1:7">
      <c r="A606" s="3">
        <v>602</v>
      </c>
      <c r="B606" s="3" t="s">
        <v>722</v>
      </c>
      <c r="C606" s="5">
        <v>0</v>
      </c>
      <c r="D606" s="5">
        <v>44.97</v>
      </c>
      <c r="E606" s="6">
        <v>0</v>
      </c>
      <c r="F606" s="6">
        <v>2.71648275365627e-6</v>
      </c>
      <c r="G606" s="3"/>
    </row>
    <row r="607" spans="1:7">
      <c r="A607" s="3">
        <v>603</v>
      </c>
      <c r="B607" s="3" t="s">
        <v>723</v>
      </c>
      <c r="C607" s="5">
        <v>2308.02</v>
      </c>
      <c r="D607" s="5">
        <v>44.95</v>
      </c>
      <c r="E607" s="6">
        <v>0.000119217278734873</v>
      </c>
      <c r="F607" s="6">
        <v>2.71527462256725e-6</v>
      </c>
      <c r="G607" s="8">
        <v>-0.980524432197295</v>
      </c>
    </row>
    <row r="608" spans="1:7">
      <c r="A608" s="3">
        <v>604</v>
      </c>
      <c r="B608" s="3" t="s">
        <v>724</v>
      </c>
      <c r="C608" s="5">
        <v>463.42</v>
      </c>
      <c r="D608" s="5">
        <v>44.91</v>
      </c>
      <c r="E608" s="6">
        <v>2.39372584775326e-5</v>
      </c>
      <c r="F608" s="6">
        <v>2.71285836038922e-6</v>
      </c>
      <c r="G608" s="8">
        <v>-0.903090069483406</v>
      </c>
    </row>
    <row r="609" spans="1:7">
      <c r="A609" s="3">
        <v>605</v>
      </c>
      <c r="B609" s="3" t="s">
        <v>725</v>
      </c>
      <c r="C609" s="5">
        <v>21.99</v>
      </c>
      <c r="D609" s="5">
        <v>43.98</v>
      </c>
      <c r="E609" s="6">
        <v>1.13586015692232e-6</v>
      </c>
      <c r="F609" s="6">
        <v>2.6566802647499e-6</v>
      </c>
      <c r="G609" s="7">
        <v>1</v>
      </c>
    </row>
    <row r="610" spans="1:7">
      <c r="A610" s="3">
        <v>606</v>
      </c>
      <c r="B610" s="3" t="s">
        <v>726</v>
      </c>
      <c r="C610" s="5">
        <v>0</v>
      </c>
      <c r="D610" s="5">
        <v>43.2</v>
      </c>
      <c r="E610" s="6">
        <v>0</v>
      </c>
      <c r="F610" s="6">
        <v>2.60956315227821e-6</v>
      </c>
      <c r="G610" s="3"/>
    </row>
    <row r="611" spans="1:7">
      <c r="A611" s="3">
        <v>607</v>
      </c>
      <c r="B611" s="3" t="s">
        <v>727</v>
      </c>
      <c r="C611" s="5">
        <v>724.71</v>
      </c>
      <c r="D611" s="5">
        <v>42.48</v>
      </c>
      <c r="E611" s="6">
        <v>3.74337978318861e-5</v>
      </c>
      <c r="F611" s="6">
        <v>2.56607043307357e-6</v>
      </c>
      <c r="G611" s="8">
        <v>-0.941383449931697</v>
      </c>
    </row>
    <row r="612" spans="1:7">
      <c r="A612" s="3">
        <v>608</v>
      </c>
      <c r="B612" s="3" t="s">
        <v>728</v>
      </c>
      <c r="C612" s="5">
        <v>0</v>
      </c>
      <c r="D612" s="5">
        <v>41.97</v>
      </c>
      <c r="E612" s="6">
        <v>0</v>
      </c>
      <c r="F612" s="6">
        <v>2.53526309030362e-6</v>
      </c>
      <c r="G612" s="3"/>
    </row>
    <row r="613" spans="1:7">
      <c r="A613" s="3">
        <v>609</v>
      </c>
      <c r="B613" s="3" t="s">
        <v>729</v>
      </c>
      <c r="C613" s="5">
        <v>0</v>
      </c>
      <c r="D613" s="5">
        <v>41.64</v>
      </c>
      <c r="E613" s="6">
        <v>0</v>
      </c>
      <c r="F613" s="6">
        <v>2.51532892733483e-6</v>
      </c>
      <c r="G613" s="3"/>
    </row>
    <row r="614" spans="1:7">
      <c r="A614" s="3">
        <v>610</v>
      </c>
      <c r="B614" s="3" t="s">
        <v>730</v>
      </c>
      <c r="C614" s="5">
        <v>80.88</v>
      </c>
      <c r="D614" s="5">
        <v>41.56</v>
      </c>
      <c r="E614" s="6">
        <v>4.17773394687936e-6</v>
      </c>
      <c r="F614" s="6">
        <v>2.51049640297876e-6</v>
      </c>
      <c r="G614" s="8">
        <v>-0.486152324431256</v>
      </c>
    </row>
    <row r="615" spans="1:7">
      <c r="A615" s="3">
        <v>611</v>
      </c>
      <c r="B615" s="3" t="s">
        <v>731</v>
      </c>
      <c r="C615" s="5">
        <v>0</v>
      </c>
      <c r="D615" s="5">
        <v>40.74</v>
      </c>
      <c r="E615" s="6">
        <v>0</v>
      </c>
      <c r="F615" s="6">
        <v>2.46096302832903e-6</v>
      </c>
      <c r="G615" s="3"/>
    </row>
    <row r="616" spans="1:7">
      <c r="A616" s="3">
        <v>612</v>
      </c>
      <c r="B616" s="3" t="s">
        <v>732</v>
      </c>
      <c r="C616" s="5">
        <v>83.93</v>
      </c>
      <c r="D616" s="5">
        <v>40.38</v>
      </c>
      <c r="E616" s="6">
        <v>4.33527707914917e-6</v>
      </c>
      <c r="F616" s="6">
        <v>2.43921666872671e-6</v>
      </c>
      <c r="G616" s="8">
        <v>-0.518884784939831</v>
      </c>
    </row>
    <row r="617" spans="1:7">
      <c r="A617" s="3">
        <v>613</v>
      </c>
      <c r="B617" s="3" t="s">
        <v>733</v>
      </c>
      <c r="C617" s="5">
        <v>95.6</v>
      </c>
      <c r="D617" s="5">
        <v>40</v>
      </c>
      <c r="E617" s="6">
        <v>4.93807326065365e-6</v>
      </c>
      <c r="F617" s="6">
        <v>2.41626217803538e-6</v>
      </c>
      <c r="G617" s="8">
        <v>-0.581589958158996</v>
      </c>
    </row>
    <row r="618" spans="1:7">
      <c r="A618" s="3">
        <v>614</v>
      </c>
      <c r="B618" s="3" t="s">
        <v>734</v>
      </c>
      <c r="C618" s="5">
        <v>631.84</v>
      </c>
      <c r="D618" s="5">
        <v>39.99</v>
      </c>
      <c r="E618" s="6">
        <v>3.26367385879854e-5</v>
      </c>
      <c r="F618" s="6">
        <v>2.41565811249087e-6</v>
      </c>
      <c r="G618" s="8">
        <v>-0.93670866042036</v>
      </c>
    </row>
    <row r="619" spans="1:7">
      <c r="A619" s="3">
        <v>615</v>
      </c>
      <c r="B619" s="3" t="s">
        <v>735</v>
      </c>
      <c r="C619" s="5">
        <v>0</v>
      </c>
      <c r="D619" s="5">
        <v>39.96</v>
      </c>
      <c r="E619" s="6">
        <v>0</v>
      </c>
      <c r="F619" s="6">
        <v>2.41384591585734e-6</v>
      </c>
      <c r="G619" s="3"/>
    </row>
    <row r="620" spans="1:7">
      <c r="A620" s="3">
        <v>616</v>
      </c>
      <c r="B620" s="3" t="s">
        <v>736</v>
      </c>
      <c r="C620" s="5">
        <v>0</v>
      </c>
      <c r="D620" s="5">
        <v>39.96</v>
      </c>
      <c r="E620" s="6">
        <v>0</v>
      </c>
      <c r="F620" s="6">
        <v>2.41384591585734e-6</v>
      </c>
      <c r="G620" s="3"/>
    </row>
    <row r="621" spans="1:7">
      <c r="A621" s="3">
        <v>617</v>
      </c>
      <c r="B621" s="3" t="s">
        <v>737</v>
      </c>
      <c r="C621" s="5">
        <v>0</v>
      </c>
      <c r="D621" s="5">
        <v>39.8</v>
      </c>
      <c r="E621" s="6">
        <v>0</v>
      </c>
      <c r="F621" s="6">
        <v>2.4041808671452e-6</v>
      </c>
      <c r="G621" s="3"/>
    </row>
    <row r="622" spans="1:7">
      <c r="A622" s="3">
        <v>618</v>
      </c>
      <c r="B622" s="3" t="s">
        <v>738</v>
      </c>
      <c r="C622" s="5">
        <v>23.7</v>
      </c>
      <c r="D622" s="5">
        <v>39.5</v>
      </c>
      <c r="E622" s="6">
        <v>1.22418761796539e-6</v>
      </c>
      <c r="F622" s="6">
        <v>2.38605890080993e-6</v>
      </c>
      <c r="G622" s="7">
        <v>0.666666666666667</v>
      </c>
    </row>
    <row r="623" spans="1:7">
      <c r="A623" s="3">
        <v>619</v>
      </c>
      <c r="B623" s="3" t="s">
        <v>739</v>
      </c>
      <c r="C623" s="5">
        <v>171.73</v>
      </c>
      <c r="D623" s="5">
        <v>39.18</v>
      </c>
      <c r="E623" s="6">
        <v>8.87045314908003e-6</v>
      </c>
      <c r="F623" s="6">
        <v>2.36672880338565e-6</v>
      </c>
      <c r="G623" s="8">
        <v>-0.771851161707331</v>
      </c>
    </row>
    <row r="624" spans="1:7">
      <c r="A624" s="3">
        <v>620</v>
      </c>
      <c r="B624" s="3" t="s">
        <v>740</v>
      </c>
      <c r="C624" s="5">
        <v>45</v>
      </c>
      <c r="D624" s="5">
        <v>38.97</v>
      </c>
      <c r="E624" s="6">
        <v>2.32440686955454e-6</v>
      </c>
      <c r="F624" s="6">
        <v>2.35404342695097e-6</v>
      </c>
      <c r="G624" s="8">
        <v>-0.134</v>
      </c>
    </row>
    <row r="625" spans="1:7">
      <c r="A625" s="3">
        <v>621</v>
      </c>
      <c r="B625" s="3" t="s">
        <v>741</v>
      </c>
      <c r="C625" s="5">
        <v>72.05</v>
      </c>
      <c r="D625" s="5">
        <v>38.76</v>
      </c>
      <c r="E625" s="6">
        <v>3.72163366558677e-6</v>
      </c>
      <c r="F625" s="6">
        <v>2.34135805051628e-6</v>
      </c>
      <c r="G625" s="8">
        <v>-0.462040249826509</v>
      </c>
    </row>
    <row r="626" spans="1:7">
      <c r="A626" s="3">
        <v>622</v>
      </c>
      <c r="B626" s="3" t="s">
        <v>742</v>
      </c>
      <c r="C626" s="5">
        <v>0</v>
      </c>
      <c r="D626" s="5">
        <v>37.98</v>
      </c>
      <c r="E626" s="6">
        <v>0</v>
      </c>
      <c r="F626" s="6">
        <v>2.29424093804459e-6</v>
      </c>
      <c r="G626" s="3"/>
    </row>
    <row r="627" spans="1:7">
      <c r="A627" s="3">
        <v>623</v>
      </c>
      <c r="B627" s="3" t="s">
        <v>743</v>
      </c>
      <c r="C627" s="5">
        <v>0</v>
      </c>
      <c r="D627" s="5">
        <v>37.8</v>
      </c>
      <c r="E627" s="6">
        <v>0</v>
      </c>
      <c r="F627" s="6">
        <v>2.28336775824343e-6</v>
      </c>
      <c r="G627" s="3"/>
    </row>
    <row r="628" spans="1:7">
      <c r="A628" s="3">
        <v>624</v>
      </c>
      <c r="B628" s="3" t="s">
        <v>744</v>
      </c>
      <c r="C628" s="5">
        <v>0</v>
      </c>
      <c r="D628" s="5">
        <v>37.5</v>
      </c>
      <c r="E628" s="6">
        <v>0</v>
      </c>
      <c r="F628" s="6">
        <v>2.26524579190817e-6</v>
      </c>
      <c r="G628" s="3"/>
    </row>
    <row r="629" spans="1:7">
      <c r="A629" s="3">
        <v>625</v>
      </c>
      <c r="B629" s="3" t="s">
        <v>745</v>
      </c>
      <c r="C629" s="5">
        <v>0</v>
      </c>
      <c r="D629" s="5">
        <v>36.97</v>
      </c>
      <c r="E629" s="6">
        <v>0</v>
      </c>
      <c r="F629" s="6">
        <v>2.2332303180492e-6</v>
      </c>
      <c r="G629" s="3"/>
    </row>
    <row r="630" spans="1:7">
      <c r="A630" s="3">
        <v>626</v>
      </c>
      <c r="B630" s="3" t="s">
        <v>746</v>
      </c>
      <c r="C630" s="5">
        <v>33.96</v>
      </c>
      <c r="D630" s="5">
        <v>36.72</v>
      </c>
      <c r="E630" s="6">
        <v>1.75415238422383e-6</v>
      </c>
      <c r="F630" s="6">
        <v>2.21812867943648e-6</v>
      </c>
      <c r="G630" s="7">
        <v>0.0812720848056536</v>
      </c>
    </row>
    <row r="631" spans="1:7">
      <c r="A631" s="3">
        <v>627</v>
      </c>
      <c r="B631" s="3" t="s">
        <v>747</v>
      </c>
      <c r="C631" s="5">
        <v>18.52</v>
      </c>
      <c r="D631" s="5">
        <v>36.27</v>
      </c>
      <c r="E631" s="6">
        <v>9.56622560536669e-7</v>
      </c>
      <c r="F631" s="6">
        <v>2.19094572993358e-6</v>
      </c>
      <c r="G631" s="7">
        <v>0.958423326133909</v>
      </c>
    </row>
    <row r="632" spans="1:7">
      <c r="A632" s="3">
        <v>628</v>
      </c>
      <c r="B632" s="3" t="s">
        <v>748</v>
      </c>
      <c r="C632" s="5">
        <v>0</v>
      </c>
      <c r="D632" s="5">
        <v>36.27</v>
      </c>
      <c r="E632" s="6">
        <v>0</v>
      </c>
      <c r="F632" s="6">
        <v>2.19094572993358e-6</v>
      </c>
      <c r="G632" s="3"/>
    </row>
    <row r="633" spans="1:7">
      <c r="A633" s="3">
        <v>629</v>
      </c>
      <c r="B633" s="3" t="s">
        <v>749</v>
      </c>
      <c r="C633" s="5">
        <v>0</v>
      </c>
      <c r="D633" s="5">
        <v>36.24</v>
      </c>
      <c r="E633" s="6">
        <v>0</v>
      </c>
      <c r="F633" s="6">
        <v>2.18913353330005e-6</v>
      </c>
      <c r="G633" s="3"/>
    </row>
    <row r="634" spans="1:7">
      <c r="A634" s="3">
        <v>630</v>
      </c>
      <c r="B634" s="3" t="s">
        <v>750</v>
      </c>
      <c r="C634" s="5">
        <v>62.72</v>
      </c>
      <c r="D634" s="5">
        <v>35.98</v>
      </c>
      <c r="E634" s="6">
        <v>3.23970664129913e-6</v>
      </c>
      <c r="F634" s="6">
        <v>2.17342782914282e-6</v>
      </c>
      <c r="G634" s="8">
        <v>-0.426339285714286</v>
      </c>
    </row>
    <row r="635" spans="1:7">
      <c r="A635" s="3">
        <v>631</v>
      </c>
      <c r="B635" s="3" t="s">
        <v>751</v>
      </c>
      <c r="C635" s="5">
        <v>43.95</v>
      </c>
      <c r="D635" s="5">
        <v>35.85</v>
      </c>
      <c r="E635" s="6">
        <v>2.27017070926494e-6</v>
      </c>
      <c r="F635" s="6">
        <v>2.16557497706421e-6</v>
      </c>
      <c r="G635" s="8">
        <v>-0.184300341296928</v>
      </c>
    </row>
    <row r="636" spans="1:7">
      <c r="A636" s="3">
        <v>632</v>
      </c>
      <c r="B636" s="3" t="s">
        <v>752</v>
      </c>
      <c r="C636" s="5">
        <v>1089.81</v>
      </c>
      <c r="D636" s="5">
        <v>35.55</v>
      </c>
      <c r="E636" s="6">
        <v>5.62924855668719e-5</v>
      </c>
      <c r="F636" s="6">
        <v>2.14745301072894e-6</v>
      </c>
      <c r="G636" s="8">
        <v>-0.967379634982245</v>
      </c>
    </row>
    <row r="637" spans="1:7">
      <c r="A637" s="3">
        <v>633</v>
      </c>
      <c r="B637" s="3" t="s">
        <v>753</v>
      </c>
      <c r="C637" s="5">
        <v>179.9</v>
      </c>
      <c r="D637" s="5">
        <v>35.22</v>
      </c>
      <c r="E637" s="6">
        <v>9.29246212961916e-6</v>
      </c>
      <c r="F637" s="6">
        <v>2.12751884776015e-6</v>
      </c>
      <c r="G637" s="8">
        <v>-0.804224569205114</v>
      </c>
    </row>
    <row r="638" spans="1:7">
      <c r="A638" s="3">
        <v>634</v>
      </c>
      <c r="B638" s="3" t="s">
        <v>754</v>
      </c>
      <c r="C638" s="5">
        <v>0</v>
      </c>
      <c r="D638" s="5">
        <v>34.99</v>
      </c>
      <c r="E638" s="6">
        <v>0</v>
      </c>
      <c r="F638" s="6">
        <v>2.11362534023645e-6</v>
      </c>
      <c r="G638" s="3"/>
    </row>
    <row r="639" spans="1:7">
      <c r="A639" s="3">
        <v>635</v>
      </c>
      <c r="B639" s="3" t="s">
        <v>755</v>
      </c>
      <c r="C639" s="5">
        <v>0</v>
      </c>
      <c r="D639" s="5">
        <v>34.99</v>
      </c>
      <c r="E639" s="6">
        <v>0</v>
      </c>
      <c r="F639" s="6">
        <v>2.11362534023645e-6</v>
      </c>
      <c r="G639" s="3"/>
    </row>
    <row r="640" spans="1:7">
      <c r="A640" s="3">
        <v>636</v>
      </c>
      <c r="B640" s="3" t="s">
        <v>756</v>
      </c>
      <c r="C640" s="5">
        <v>0</v>
      </c>
      <c r="D640" s="5">
        <v>34.97</v>
      </c>
      <c r="E640" s="6">
        <v>0</v>
      </c>
      <c r="F640" s="6">
        <v>2.11241720914743e-6</v>
      </c>
      <c r="G640" s="3"/>
    </row>
    <row r="641" spans="1:7">
      <c r="A641" s="3">
        <v>637</v>
      </c>
      <c r="B641" s="3" t="s">
        <v>757</v>
      </c>
      <c r="C641" s="5">
        <v>0</v>
      </c>
      <c r="D641" s="5">
        <v>34.9</v>
      </c>
      <c r="E641" s="6">
        <v>0</v>
      </c>
      <c r="F641" s="6">
        <v>2.10818875033587e-6</v>
      </c>
      <c r="G641" s="3"/>
    </row>
    <row r="642" spans="1:7">
      <c r="A642" s="3">
        <v>638</v>
      </c>
      <c r="B642" s="3" t="s">
        <v>758</v>
      </c>
      <c r="C642" s="5">
        <v>0</v>
      </c>
      <c r="D642" s="5">
        <v>34.8</v>
      </c>
      <c r="E642" s="6">
        <v>0</v>
      </c>
      <c r="F642" s="6">
        <v>2.10214809489078e-6</v>
      </c>
      <c r="G642" s="3"/>
    </row>
    <row r="643" spans="1:7">
      <c r="A643" s="3">
        <v>639</v>
      </c>
      <c r="B643" s="3" t="s">
        <v>759</v>
      </c>
      <c r="C643" s="5">
        <v>0</v>
      </c>
      <c r="D643" s="5">
        <v>33.84</v>
      </c>
      <c r="E643" s="6">
        <v>0</v>
      </c>
      <c r="F643" s="6">
        <v>2.04415780261793e-6</v>
      </c>
      <c r="G643" s="3"/>
    </row>
    <row r="644" spans="1:7">
      <c r="A644" s="3">
        <v>640</v>
      </c>
      <c r="B644" s="3" t="s">
        <v>760</v>
      </c>
      <c r="C644" s="5">
        <v>0</v>
      </c>
      <c r="D644" s="5">
        <v>33.41</v>
      </c>
      <c r="E644" s="6">
        <v>0</v>
      </c>
      <c r="F644" s="6">
        <v>2.01818298420405e-6</v>
      </c>
      <c r="G644" s="3"/>
    </row>
    <row r="645" spans="1:7">
      <c r="A645" s="3">
        <v>641</v>
      </c>
      <c r="B645" s="3" t="s">
        <v>761</v>
      </c>
      <c r="C645" s="5">
        <v>177.52</v>
      </c>
      <c r="D645" s="5">
        <v>33.36</v>
      </c>
      <c r="E645" s="6">
        <v>9.16952683296272e-6</v>
      </c>
      <c r="F645" s="6">
        <v>2.0151626564815e-6</v>
      </c>
      <c r="G645" s="8">
        <v>-0.81207751239297</v>
      </c>
    </row>
    <row r="646" spans="1:7">
      <c r="A646" s="3">
        <v>642</v>
      </c>
      <c r="B646" s="3" t="s">
        <v>762</v>
      </c>
      <c r="C646" s="5">
        <v>537.52</v>
      </c>
      <c r="D646" s="5">
        <v>32.95</v>
      </c>
      <c r="E646" s="6">
        <v>2.77647817893991e-5</v>
      </c>
      <c r="F646" s="6">
        <v>1.99039596915664e-6</v>
      </c>
      <c r="G646" s="8">
        <v>-0.938699955350499</v>
      </c>
    </row>
    <row r="647" spans="1:7">
      <c r="A647" s="3">
        <v>643</v>
      </c>
      <c r="B647" s="3" t="s">
        <v>763</v>
      </c>
      <c r="C647" s="5">
        <v>250.21</v>
      </c>
      <c r="D647" s="5">
        <v>32.39</v>
      </c>
      <c r="E647" s="6">
        <v>1.29242187295832e-5</v>
      </c>
      <c r="F647" s="6">
        <v>1.95656829866415e-6</v>
      </c>
      <c r="G647" s="8">
        <v>-0.87054873905919</v>
      </c>
    </row>
    <row r="648" spans="1:7">
      <c r="A648" s="3">
        <v>644</v>
      </c>
      <c r="B648" s="3" t="s">
        <v>764</v>
      </c>
      <c r="C648" s="5">
        <v>0</v>
      </c>
      <c r="D648" s="5">
        <v>31.07</v>
      </c>
      <c r="E648" s="6">
        <v>0</v>
      </c>
      <c r="F648" s="6">
        <v>1.87683164678898e-6</v>
      </c>
      <c r="G648" s="3"/>
    </row>
    <row r="649" spans="1:7">
      <c r="A649" s="3">
        <v>645</v>
      </c>
      <c r="B649" s="3" t="s">
        <v>765</v>
      </c>
      <c r="C649" s="5">
        <v>51.4</v>
      </c>
      <c r="D649" s="5">
        <v>30.86</v>
      </c>
      <c r="E649" s="6">
        <v>2.65498917989119e-6</v>
      </c>
      <c r="F649" s="6">
        <v>1.86414627035429e-6</v>
      </c>
      <c r="G649" s="8">
        <v>-0.399610894941634</v>
      </c>
    </row>
    <row r="650" spans="1:7">
      <c r="A650" s="3">
        <v>646</v>
      </c>
      <c r="B650" s="3" t="s">
        <v>766</v>
      </c>
      <c r="C650" s="5">
        <v>5.3</v>
      </c>
      <c r="D650" s="5">
        <v>30.21</v>
      </c>
      <c r="E650" s="6">
        <v>2.73763475747535e-7</v>
      </c>
      <c r="F650" s="6">
        <v>1.82488200996122e-6</v>
      </c>
      <c r="G650" s="7">
        <v>4.7</v>
      </c>
    </row>
    <row r="651" spans="1:7">
      <c r="A651" s="3">
        <v>647</v>
      </c>
      <c r="B651" s="3" t="s">
        <v>767</v>
      </c>
      <c r="C651" s="5">
        <v>0</v>
      </c>
      <c r="D651" s="5">
        <v>29.99</v>
      </c>
      <c r="E651" s="6">
        <v>0</v>
      </c>
      <c r="F651" s="6">
        <v>1.81159256798202e-6</v>
      </c>
      <c r="G651" s="3"/>
    </row>
    <row r="652" spans="1:7">
      <c r="A652" s="3">
        <v>648</v>
      </c>
      <c r="B652" s="3" t="s">
        <v>768</v>
      </c>
      <c r="C652" s="5">
        <v>75.93</v>
      </c>
      <c r="D652" s="5">
        <v>29.97</v>
      </c>
      <c r="E652" s="6">
        <v>3.92204919122836e-6</v>
      </c>
      <c r="F652" s="6">
        <v>1.810384436893e-6</v>
      </c>
      <c r="G652" s="8">
        <v>-0.605294350059265</v>
      </c>
    </row>
    <row r="653" spans="1:7">
      <c r="A653" s="3">
        <v>649</v>
      </c>
      <c r="B653" s="3" t="s">
        <v>769</v>
      </c>
      <c r="C653" s="5">
        <v>59.94</v>
      </c>
      <c r="D653" s="5">
        <v>29.97</v>
      </c>
      <c r="E653" s="6">
        <v>3.09610995024665e-6</v>
      </c>
      <c r="F653" s="6">
        <v>1.810384436893e-6</v>
      </c>
      <c r="G653" s="8">
        <v>-0.5</v>
      </c>
    </row>
    <row r="654" spans="1:7">
      <c r="A654" s="3">
        <v>650</v>
      </c>
      <c r="B654" s="3" t="s">
        <v>770</v>
      </c>
      <c r="C654" s="5">
        <v>0</v>
      </c>
      <c r="D654" s="5">
        <v>29.97</v>
      </c>
      <c r="E654" s="6">
        <v>0</v>
      </c>
      <c r="F654" s="6">
        <v>1.810384436893e-6</v>
      </c>
      <c r="G654" s="3"/>
    </row>
    <row r="655" spans="1:7">
      <c r="A655" s="3">
        <v>651</v>
      </c>
      <c r="B655" s="3" t="s">
        <v>771</v>
      </c>
      <c r="C655" s="5">
        <v>28.45</v>
      </c>
      <c r="D655" s="5">
        <v>29.29</v>
      </c>
      <c r="E655" s="6">
        <v>1.46954167641837e-6</v>
      </c>
      <c r="F655" s="6">
        <v>1.7693079798664e-6</v>
      </c>
      <c r="G655" s="7">
        <v>0.0295254833040421</v>
      </c>
    </row>
    <row r="656" spans="1:7">
      <c r="A656" s="3">
        <v>652</v>
      </c>
      <c r="B656" s="3" t="s">
        <v>772</v>
      </c>
      <c r="C656" s="5">
        <v>98.32</v>
      </c>
      <c r="D656" s="5">
        <v>28.5</v>
      </c>
      <c r="E656" s="6">
        <v>5.07857074254672e-6</v>
      </c>
      <c r="F656" s="6">
        <v>1.7215868018502e-6</v>
      </c>
      <c r="G656" s="8">
        <v>-0.71013018714402</v>
      </c>
    </row>
    <row r="657" spans="1:7">
      <c r="A657" s="3">
        <v>653</v>
      </c>
      <c r="B657" s="3" t="s">
        <v>773</v>
      </c>
      <c r="C657" s="5">
        <v>0</v>
      </c>
      <c r="D657" s="5">
        <v>28.36</v>
      </c>
      <c r="E657" s="6">
        <v>0</v>
      </c>
      <c r="F657" s="6">
        <v>1.71312988422708e-6</v>
      </c>
      <c r="G657" s="3"/>
    </row>
    <row r="658" spans="1:7">
      <c r="A658" s="3">
        <v>654</v>
      </c>
      <c r="B658" s="3" t="s">
        <v>774</v>
      </c>
      <c r="C658" s="5">
        <v>27.98</v>
      </c>
      <c r="D658" s="5">
        <v>28.34</v>
      </c>
      <c r="E658" s="6">
        <v>1.44526453800302e-6</v>
      </c>
      <c r="F658" s="6">
        <v>1.71192175313806e-6</v>
      </c>
      <c r="G658" s="7">
        <v>0.0128663330950678</v>
      </c>
    </row>
    <row r="659" spans="1:7">
      <c r="A659" s="3">
        <v>655</v>
      </c>
      <c r="B659" s="3" t="s">
        <v>775</v>
      </c>
      <c r="C659" s="5">
        <v>0</v>
      </c>
      <c r="D659" s="5">
        <v>28.21</v>
      </c>
      <c r="E659" s="6">
        <v>0</v>
      </c>
      <c r="F659" s="6">
        <v>1.70406890105945e-6</v>
      </c>
      <c r="G659" s="3"/>
    </row>
    <row r="660" spans="1:7">
      <c r="A660" s="3">
        <v>656</v>
      </c>
      <c r="B660" s="3" t="s">
        <v>776</v>
      </c>
      <c r="C660" s="5">
        <v>17.98</v>
      </c>
      <c r="D660" s="5">
        <v>27.98</v>
      </c>
      <c r="E660" s="6">
        <v>9.28729678102015e-7</v>
      </c>
      <c r="F660" s="6">
        <v>1.69017539353575e-6</v>
      </c>
      <c r="G660" s="7">
        <v>0.556173526140156</v>
      </c>
    </row>
    <row r="661" spans="1:7">
      <c r="A661" s="3">
        <v>657</v>
      </c>
      <c r="B661" s="3" t="s">
        <v>777</v>
      </c>
      <c r="C661" s="5">
        <v>0</v>
      </c>
      <c r="D661" s="5">
        <v>27.9</v>
      </c>
      <c r="E661" s="6">
        <v>0</v>
      </c>
      <c r="F661" s="6">
        <v>1.68534286917967e-6</v>
      </c>
      <c r="G661" s="3"/>
    </row>
    <row r="662" spans="1:7">
      <c r="A662" s="3">
        <v>658</v>
      </c>
      <c r="B662" s="3" t="s">
        <v>778</v>
      </c>
      <c r="C662" s="5">
        <v>73.55</v>
      </c>
      <c r="D662" s="5">
        <v>27.85</v>
      </c>
      <c r="E662" s="6">
        <v>3.79911389457192e-6</v>
      </c>
      <c r="F662" s="6">
        <v>1.68232254145713e-6</v>
      </c>
      <c r="G662" s="8">
        <v>-0.621346023113528</v>
      </c>
    </row>
    <row r="663" spans="1:7">
      <c r="A663" s="3">
        <v>659</v>
      </c>
      <c r="B663" s="3" t="s">
        <v>779</v>
      </c>
      <c r="C663" s="5">
        <v>84.69</v>
      </c>
      <c r="D663" s="5">
        <v>27.83</v>
      </c>
      <c r="E663" s="6">
        <v>4.37453372850165e-6</v>
      </c>
      <c r="F663" s="6">
        <v>1.68111441036811e-6</v>
      </c>
      <c r="G663" s="8">
        <v>-0.671389774471602</v>
      </c>
    </row>
    <row r="664" spans="1:7">
      <c r="A664" s="3">
        <v>660</v>
      </c>
      <c r="B664" s="3" t="s">
        <v>780</v>
      </c>
      <c r="C664" s="5">
        <v>0</v>
      </c>
      <c r="D664" s="5">
        <v>27.25</v>
      </c>
      <c r="E664" s="6">
        <v>0</v>
      </c>
      <c r="F664" s="6">
        <v>1.6460786087866e-6</v>
      </c>
      <c r="G664" s="3"/>
    </row>
    <row r="665" spans="1:7">
      <c r="A665" s="3">
        <v>661</v>
      </c>
      <c r="B665" s="3" t="s">
        <v>781</v>
      </c>
      <c r="C665" s="5">
        <v>1658.34</v>
      </c>
      <c r="D665" s="5">
        <v>26.97</v>
      </c>
      <c r="E665" s="6">
        <v>8.5659041956824e-5</v>
      </c>
      <c r="F665" s="6">
        <v>1.62916477354035e-6</v>
      </c>
      <c r="G665" s="8">
        <v>-0.98373674879699</v>
      </c>
    </row>
    <row r="666" spans="1:7">
      <c r="A666" s="3">
        <v>662</v>
      </c>
      <c r="B666" s="3" t="s">
        <v>782</v>
      </c>
      <c r="C666" s="5">
        <v>119.88</v>
      </c>
      <c r="D666" s="5">
        <v>26.37</v>
      </c>
      <c r="E666" s="6">
        <v>6.1922199004933e-6</v>
      </c>
      <c r="F666" s="6">
        <v>1.59292084086982e-6</v>
      </c>
      <c r="G666" s="8">
        <v>-0.78003003003003</v>
      </c>
    </row>
    <row r="667" spans="1:7">
      <c r="A667" s="3">
        <v>663</v>
      </c>
      <c r="B667" s="3" t="s">
        <v>783</v>
      </c>
      <c r="C667" s="5">
        <v>0</v>
      </c>
      <c r="D667" s="5">
        <v>26.36</v>
      </c>
      <c r="E667" s="6">
        <v>0</v>
      </c>
      <c r="F667" s="6">
        <v>1.59231677532531e-6</v>
      </c>
      <c r="G667" s="3"/>
    </row>
    <row r="668" spans="1:7">
      <c r="A668" s="3">
        <v>664</v>
      </c>
      <c r="B668" s="3" t="s">
        <v>784</v>
      </c>
      <c r="C668" s="5">
        <v>261.87</v>
      </c>
      <c r="D668" s="5">
        <v>26.08</v>
      </c>
      <c r="E668" s="6">
        <v>1.35264983762277e-5</v>
      </c>
      <c r="F668" s="6">
        <v>1.57540294007907e-6</v>
      </c>
      <c r="G668" s="8">
        <v>-0.900408599686868</v>
      </c>
    </row>
    <row r="669" spans="1:7">
      <c r="A669" s="3">
        <v>665</v>
      </c>
      <c r="B669" s="3" t="s">
        <v>785</v>
      </c>
      <c r="C669" s="5">
        <v>195.35</v>
      </c>
      <c r="D669" s="5">
        <v>25.98</v>
      </c>
      <c r="E669" s="6">
        <v>1.00905084881662e-5</v>
      </c>
      <c r="F669" s="6">
        <v>1.56936228463398e-6</v>
      </c>
      <c r="G669" s="8">
        <v>-0.867007934476581</v>
      </c>
    </row>
    <row r="670" spans="1:7">
      <c r="A670" s="3">
        <v>666</v>
      </c>
      <c r="B670" s="3" t="s">
        <v>786</v>
      </c>
      <c r="C670" s="5">
        <v>12.99</v>
      </c>
      <c r="D670" s="5">
        <v>25.98</v>
      </c>
      <c r="E670" s="6">
        <v>6.70978783011411e-7</v>
      </c>
      <c r="F670" s="6">
        <v>1.56936228463398e-6</v>
      </c>
      <c r="G670" s="7">
        <v>1</v>
      </c>
    </row>
    <row r="671" spans="1:7">
      <c r="A671" s="3">
        <v>667</v>
      </c>
      <c r="B671" s="3" t="s">
        <v>787</v>
      </c>
      <c r="C671" s="5">
        <v>0</v>
      </c>
      <c r="D671" s="5">
        <v>25.8</v>
      </c>
      <c r="E671" s="6">
        <v>0</v>
      </c>
      <c r="F671" s="6">
        <v>1.55848910483282e-6</v>
      </c>
      <c r="G671" s="3"/>
    </row>
    <row r="672" spans="1:7">
      <c r="A672" s="3">
        <v>668</v>
      </c>
      <c r="B672" s="3" t="s">
        <v>788</v>
      </c>
      <c r="C672" s="5">
        <v>83.76</v>
      </c>
      <c r="D672" s="5">
        <v>25.68</v>
      </c>
      <c r="E672" s="6">
        <v>4.32649598653085e-6</v>
      </c>
      <c r="F672" s="6">
        <v>1.55124031829871e-6</v>
      </c>
      <c r="G672" s="8">
        <v>-0.693409742120344</v>
      </c>
    </row>
    <row r="673" spans="1:7">
      <c r="A673" s="3">
        <v>669</v>
      </c>
      <c r="B673" s="3" t="s">
        <v>789</v>
      </c>
      <c r="C673" s="5">
        <v>207.04</v>
      </c>
      <c r="D673" s="5">
        <v>25.65</v>
      </c>
      <c r="E673" s="6">
        <v>1.06943377393905e-5</v>
      </c>
      <c r="F673" s="6">
        <v>1.54942812166518e-6</v>
      </c>
      <c r="G673" s="8">
        <v>-0.876110896445131</v>
      </c>
    </row>
    <row r="674" spans="1:7">
      <c r="A674" s="3">
        <v>670</v>
      </c>
      <c r="B674" s="3" t="s">
        <v>790</v>
      </c>
      <c r="C674" s="5">
        <v>908.23</v>
      </c>
      <c r="D674" s="5">
        <v>25</v>
      </c>
      <c r="E674" s="6">
        <v>4.69132455807894e-5</v>
      </c>
      <c r="F674" s="6">
        <v>1.51016386127211e-6</v>
      </c>
      <c r="G674" s="8">
        <v>-0.972473932814375</v>
      </c>
    </row>
    <row r="675" spans="1:7">
      <c r="A675" s="3">
        <v>671</v>
      </c>
      <c r="B675" s="3" t="s">
        <v>791</v>
      </c>
      <c r="C675" s="5">
        <v>162.95</v>
      </c>
      <c r="D675" s="5">
        <v>24.99</v>
      </c>
      <c r="E675" s="6">
        <v>8.41693554208695e-6</v>
      </c>
      <c r="F675" s="6">
        <v>1.5095597957276e-6</v>
      </c>
      <c r="G675" s="8">
        <v>-0.846640073642221</v>
      </c>
    </row>
    <row r="676" spans="1:7">
      <c r="A676" s="3">
        <v>672</v>
      </c>
      <c r="B676" s="3" t="s">
        <v>792</v>
      </c>
      <c r="C676" s="5">
        <v>379.33</v>
      </c>
      <c r="D676" s="5">
        <v>24.98</v>
      </c>
      <c r="E676" s="6">
        <v>1.9593716840625e-5</v>
      </c>
      <c r="F676" s="6">
        <v>1.50895573018309e-6</v>
      </c>
      <c r="G676" s="8">
        <v>-0.934147048743838</v>
      </c>
    </row>
    <row r="677" spans="1:7">
      <c r="A677" s="3">
        <v>673</v>
      </c>
      <c r="B677" s="3" t="s">
        <v>793</v>
      </c>
      <c r="C677" s="5">
        <v>31.86</v>
      </c>
      <c r="D677" s="5">
        <v>24.95</v>
      </c>
      <c r="E677" s="6">
        <v>1.64568006364462e-6</v>
      </c>
      <c r="F677" s="6">
        <v>1.50714353354957e-6</v>
      </c>
      <c r="G677" s="8">
        <v>-0.216886377903327</v>
      </c>
    </row>
    <row r="678" spans="1:7">
      <c r="A678" s="3">
        <v>674</v>
      </c>
      <c r="B678" s="3" t="s">
        <v>794</v>
      </c>
      <c r="C678" s="5">
        <v>51.52</v>
      </c>
      <c r="D678" s="5">
        <v>24.88</v>
      </c>
      <c r="E678" s="6">
        <v>2.66118759821e-6</v>
      </c>
      <c r="F678" s="6">
        <v>1.502915074738e-6</v>
      </c>
      <c r="G678" s="8">
        <v>-0.517080745341615</v>
      </c>
    </row>
    <row r="679" spans="1:7">
      <c r="A679" s="3">
        <v>675</v>
      </c>
      <c r="B679" s="3" t="s">
        <v>795</v>
      </c>
      <c r="C679" s="5">
        <v>0</v>
      </c>
      <c r="D679" s="5">
        <v>24.69</v>
      </c>
      <c r="E679" s="6">
        <v>0</v>
      </c>
      <c r="F679" s="6">
        <v>1.49143782939234e-6</v>
      </c>
      <c r="G679" s="3"/>
    </row>
    <row r="680" spans="1:7">
      <c r="A680" s="3">
        <v>676</v>
      </c>
      <c r="B680" s="3" t="s">
        <v>796</v>
      </c>
      <c r="C680" s="5">
        <v>179.85</v>
      </c>
      <c r="D680" s="5">
        <v>23.98</v>
      </c>
      <c r="E680" s="6">
        <v>9.28987945531965e-6</v>
      </c>
      <c r="F680" s="6">
        <v>1.44854917573221e-6</v>
      </c>
      <c r="G680" s="8">
        <v>-0.866666666666667</v>
      </c>
    </row>
    <row r="681" spans="1:7">
      <c r="A681" s="3">
        <v>677</v>
      </c>
      <c r="B681" s="3" t="s">
        <v>797</v>
      </c>
      <c r="C681" s="5">
        <v>0</v>
      </c>
      <c r="D681" s="5">
        <v>23.97</v>
      </c>
      <c r="E681" s="6">
        <v>0</v>
      </c>
      <c r="F681" s="6">
        <v>1.4479451101877e-6</v>
      </c>
      <c r="G681" s="3"/>
    </row>
    <row r="682" spans="1:7">
      <c r="A682" s="3">
        <v>678</v>
      </c>
      <c r="B682" s="3" t="s">
        <v>798</v>
      </c>
      <c r="C682" s="5">
        <v>0</v>
      </c>
      <c r="D682" s="5">
        <v>23.97</v>
      </c>
      <c r="E682" s="6">
        <v>0</v>
      </c>
      <c r="F682" s="6">
        <v>1.4479451101877e-6</v>
      </c>
      <c r="G682" s="3"/>
    </row>
    <row r="683" spans="1:7">
      <c r="A683" s="3">
        <v>679</v>
      </c>
      <c r="B683" s="3" t="s">
        <v>799</v>
      </c>
      <c r="C683" s="5">
        <v>0</v>
      </c>
      <c r="D683" s="5">
        <v>23.76</v>
      </c>
      <c r="E683" s="6">
        <v>0</v>
      </c>
      <c r="F683" s="6">
        <v>1.43525973375301e-6</v>
      </c>
      <c r="G683" s="3"/>
    </row>
    <row r="684" spans="1:7">
      <c r="A684" s="3">
        <v>680</v>
      </c>
      <c r="B684" s="3" t="s">
        <v>800</v>
      </c>
      <c r="C684" s="5">
        <v>4.75</v>
      </c>
      <c r="D684" s="5">
        <v>23.51</v>
      </c>
      <c r="E684" s="6">
        <v>2.45354058452979e-7</v>
      </c>
      <c r="F684" s="6">
        <v>1.42015809514029e-6</v>
      </c>
      <c r="G684" s="7">
        <v>3.94947368421053</v>
      </c>
    </row>
    <row r="685" spans="1:7">
      <c r="A685" s="3">
        <v>681</v>
      </c>
      <c r="B685" s="3" t="s">
        <v>801</v>
      </c>
      <c r="C685" s="5">
        <v>0</v>
      </c>
      <c r="D685" s="5">
        <v>22.89</v>
      </c>
      <c r="E685" s="6">
        <v>0</v>
      </c>
      <c r="F685" s="6">
        <v>1.38270603138074e-6</v>
      </c>
      <c r="G685" s="3"/>
    </row>
    <row r="686" spans="1:7">
      <c r="A686" s="3">
        <v>682</v>
      </c>
      <c r="B686" s="3" t="s">
        <v>802</v>
      </c>
      <c r="C686" s="5">
        <v>218.25</v>
      </c>
      <c r="D686" s="5">
        <v>22.5</v>
      </c>
      <c r="E686" s="6">
        <v>1.12733733173395e-5</v>
      </c>
      <c r="F686" s="6">
        <v>1.3591474751449e-6</v>
      </c>
      <c r="G686" s="8">
        <v>-0.896907216494845</v>
      </c>
    </row>
    <row r="687" spans="1:7">
      <c r="A687" s="3">
        <v>683</v>
      </c>
      <c r="B687" s="3" t="s">
        <v>803</v>
      </c>
      <c r="C687" s="5">
        <v>0</v>
      </c>
      <c r="D687" s="5">
        <v>21.99</v>
      </c>
      <c r="E687" s="6">
        <v>0</v>
      </c>
      <c r="F687" s="6">
        <v>1.32834013237495e-6</v>
      </c>
      <c r="G687" s="3"/>
    </row>
    <row r="688" spans="1:7">
      <c r="A688" s="3">
        <v>684</v>
      </c>
      <c r="B688" s="3" t="s">
        <v>804</v>
      </c>
      <c r="C688" s="5">
        <v>0</v>
      </c>
      <c r="D688" s="5">
        <v>21.98</v>
      </c>
      <c r="E688" s="6">
        <v>0</v>
      </c>
      <c r="F688" s="6">
        <v>1.32773606683044e-6</v>
      </c>
      <c r="G688" s="3"/>
    </row>
    <row r="689" spans="1:7">
      <c r="A689" s="3">
        <v>685</v>
      </c>
      <c r="B689" s="3" t="s">
        <v>805</v>
      </c>
      <c r="C689" s="5">
        <v>0</v>
      </c>
      <c r="D689" s="5">
        <v>21.97</v>
      </c>
      <c r="E689" s="6">
        <v>0</v>
      </c>
      <c r="F689" s="6">
        <v>1.32713200128593e-6</v>
      </c>
      <c r="G689" s="3"/>
    </row>
    <row r="690" spans="1:7">
      <c r="A690" s="3">
        <v>686</v>
      </c>
      <c r="B690" s="3" t="s">
        <v>806</v>
      </c>
      <c r="C690" s="5">
        <v>0</v>
      </c>
      <c r="D690" s="5">
        <v>21.84</v>
      </c>
      <c r="E690" s="6">
        <v>0</v>
      </c>
      <c r="F690" s="6">
        <v>1.31927914920731e-6</v>
      </c>
      <c r="G690" s="3"/>
    </row>
    <row r="691" spans="1:7">
      <c r="A691" s="3">
        <v>687</v>
      </c>
      <c r="B691" s="3" t="s">
        <v>807</v>
      </c>
      <c r="C691" s="5">
        <v>0</v>
      </c>
      <c r="D691" s="5">
        <v>21.64</v>
      </c>
      <c r="E691" s="6">
        <v>0</v>
      </c>
      <c r="F691" s="6">
        <v>1.30719783831714e-6</v>
      </c>
      <c r="G691" s="3"/>
    </row>
    <row r="692" spans="1:7">
      <c r="A692" s="3">
        <v>688</v>
      </c>
      <c r="B692" s="3" t="s">
        <v>808</v>
      </c>
      <c r="C692" s="5">
        <v>372.57</v>
      </c>
      <c r="D692" s="5">
        <v>21.54</v>
      </c>
      <c r="E692" s="6">
        <v>1.92445392753319e-5</v>
      </c>
      <c r="F692" s="6">
        <v>1.30115718287205e-6</v>
      </c>
      <c r="G692" s="8">
        <v>-0.942185361140188</v>
      </c>
    </row>
    <row r="693" spans="1:7">
      <c r="A693" s="3">
        <v>689</v>
      </c>
      <c r="B693" s="3" t="s">
        <v>809</v>
      </c>
      <c r="C693" s="5">
        <v>32.5</v>
      </c>
      <c r="D693" s="5">
        <v>20.61</v>
      </c>
      <c r="E693" s="6">
        <v>1.67873829467828e-6</v>
      </c>
      <c r="F693" s="6">
        <v>1.24497908723273e-6</v>
      </c>
      <c r="G693" s="8">
        <v>-0.365846153846154</v>
      </c>
    </row>
    <row r="694" spans="1:7">
      <c r="A694" s="3">
        <v>690</v>
      </c>
      <c r="B694" s="3" t="s">
        <v>810</v>
      </c>
      <c r="C694" s="5">
        <v>0</v>
      </c>
      <c r="D694" s="5">
        <v>19.99</v>
      </c>
      <c r="E694" s="6">
        <v>0</v>
      </c>
      <c r="F694" s="6">
        <v>1.20752702347318e-6</v>
      </c>
      <c r="G694" s="3"/>
    </row>
    <row r="695" spans="1:7">
      <c r="A695" s="3">
        <v>691</v>
      </c>
      <c r="B695" s="3" t="s">
        <v>811</v>
      </c>
      <c r="C695" s="5">
        <v>1050.06</v>
      </c>
      <c r="D695" s="5">
        <v>19.98</v>
      </c>
      <c r="E695" s="6">
        <v>5.42392594987654e-5</v>
      </c>
      <c r="F695" s="6">
        <v>1.20692295792867e-6</v>
      </c>
      <c r="G695" s="8">
        <v>-0.980972515856237</v>
      </c>
    </row>
    <row r="696" spans="1:7">
      <c r="A696" s="3">
        <v>692</v>
      </c>
      <c r="B696" s="3" t="s">
        <v>812</v>
      </c>
      <c r="C696" s="5">
        <v>0</v>
      </c>
      <c r="D696" s="5">
        <v>19.98</v>
      </c>
      <c r="E696" s="6">
        <v>0</v>
      </c>
      <c r="F696" s="6">
        <v>1.20692295792867e-6</v>
      </c>
      <c r="G696" s="3"/>
    </row>
    <row r="697" spans="1:7">
      <c r="A697" s="3">
        <v>693</v>
      </c>
      <c r="B697" s="3" t="s">
        <v>813</v>
      </c>
      <c r="C697" s="5">
        <v>0</v>
      </c>
      <c r="D697" s="5">
        <v>19.98</v>
      </c>
      <c r="E697" s="6">
        <v>0</v>
      </c>
      <c r="F697" s="6">
        <v>1.20692295792867e-6</v>
      </c>
      <c r="G697" s="3"/>
    </row>
    <row r="698" spans="1:7">
      <c r="A698" s="3">
        <v>694</v>
      </c>
      <c r="B698" s="3" t="s">
        <v>814</v>
      </c>
      <c r="C698" s="5">
        <v>27.9</v>
      </c>
      <c r="D698" s="5">
        <v>19.95</v>
      </c>
      <c r="E698" s="6">
        <v>1.44113225912382e-6</v>
      </c>
      <c r="F698" s="6">
        <v>1.20511076129514e-6</v>
      </c>
      <c r="G698" s="8">
        <v>-0.28494623655914</v>
      </c>
    </row>
    <row r="699" spans="1:7">
      <c r="A699" s="3">
        <v>695</v>
      </c>
      <c r="B699" s="3" t="s">
        <v>815</v>
      </c>
      <c r="C699" s="5">
        <v>0</v>
      </c>
      <c r="D699" s="5">
        <v>19.9</v>
      </c>
      <c r="E699" s="6">
        <v>0</v>
      </c>
      <c r="F699" s="6">
        <v>1.2020904335726e-6</v>
      </c>
      <c r="G699" s="3"/>
    </row>
    <row r="700" spans="1:7">
      <c r="A700" s="3">
        <v>696</v>
      </c>
      <c r="B700" s="3" t="s">
        <v>816</v>
      </c>
      <c r="C700" s="5">
        <v>0</v>
      </c>
      <c r="D700" s="5">
        <v>19.75</v>
      </c>
      <c r="E700" s="6">
        <v>0</v>
      </c>
      <c r="F700" s="6">
        <v>1.19302945040497e-6</v>
      </c>
      <c r="G700" s="3"/>
    </row>
    <row r="701" spans="1:7">
      <c r="A701" s="3">
        <v>697</v>
      </c>
      <c r="B701" s="3" t="s">
        <v>817</v>
      </c>
      <c r="C701" s="5">
        <v>0</v>
      </c>
      <c r="D701" s="5">
        <v>19.69</v>
      </c>
      <c r="E701" s="6">
        <v>0</v>
      </c>
      <c r="F701" s="6">
        <v>1.18940505713791e-6</v>
      </c>
      <c r="G701" s="3"/>
    </row>
    <row r="702" spans="1:7">
      <c r="A702" s="3">
        <v>698</v>
      </c>
      <c r="B702" s="3" t="s">
        <v>818</v>
      </c>
      <c r="C702" s="5">
        <v>0</v>
      </c>
      <c r="D702" s="5">
        <v>19.6</v>
      </c>
      <c r="E702" s="6">
        <v>0</v>
      </c>
      <c r="F702" s="6">
        <v>1.18396846723733e-6</v>
      </c>
      <c r="G702" s="3"/>
    </row>
    <row r="703" spans="1:7">
      <c r="A703" s="3">
        <v>699</v>
      </c>
      <c r="B703" s="3" t="s">
        <v>819</v>
      </c>
      <c r="C703" s="5">
        <v>457.24</v>
      </c>
      <c r="D703" s="5">
        <v>18.99</v>
      </c>
      <c r="E703" s="6">
        <v>2.36180399341138e-5</v>
      </c>
      <c r="F703" s="6">
        <v>1.14712046902229e-6</v>
      </c>
      <c r="G703" s="8">
        <v>-0.958468200507392</v>
      </c>
    </row>
    <row r="704" spans="1:7">
      <c r="A704" s="3">
        <v>700</v>
      </c>
      <c r="B704" s="3" t="s">
        <v>820</v>
      </c>
      <c r="C704" s="5">
        <v>0</v>
      </c>
      <c r="D704" s="5">
        <v>18.82</v>
      </c>
      <c r="E704" s="6">
        <v>0</v>
      </c>
      <c r="F704" s="6">
        <v>1.13685135476564e-6</v>
      </c>
      <c r="G704" s="3"/>
    </row>
    <row r="705" spans="1:7">
      <c r="A705" s="3">
        <v>701</v>
      </c>
      <c r="B705" s="3" t="s">
        <v>821</v>
      </c>
      <c r="C705" s="5">
        <v>141.46</v>
      </c>
      <c r="D705" s="5">
        <v>18.52</v>
      </c>
      <c r="E705" s="6">
        <v>7.30690212815968e-6</v>
      </c>
      <c r="F705" s="6">
        <v>1.11872938843038e-6</v>
      </c>
      <c r="G705" s="8">
        <v>-0.869079598473067</v>
      </c>
    </row>
    <row r="706" spans="1:7">
      <c r="A706" s="3">
        <v>702</v>
      </c>
      <c r="B706" s="3" t="s">
        <v>822</v>
      </c>
      <c r="C706" s="5">
        <v>0</v>
      </c>
      <c r="D706" s="5">
        <v>18.28</v>
      </c>
      <c r="E706" s="6">
        <v>0</v>
      </c>
      <c r="F706" s="6">
        <v>1.10423181536217e-6</v>
      </c>
      <c r="G706" s="3"/>
    </row>
    <row r="707" spans="1:7">
      <c r="A707" s="3">
        <v>703</v>
      </c>
      <c r="B707" s="3" t="s">
        <v>823</v>
      </c>
      <c r="C707" s="5">
        <v>52.95</v>
      </c>
      <c r="D707" s="5">
        <v>18.02</v>
      </c>
      <c r="E707" s="6">
        <v>2.73505208317584e-6</v>
      </c>
      <c r="F707" s="6">
        <v>1.08852611120494e-6</v>
      </c>
      <c r="G707" s="8">
        <v>-0.659678942398489</v>
      </c>
    </row>
    <row r="708" spans="1:7">
      <c r="A708" s="3">
        <v>704</v>
      </c>
      <c r="B708" s="3" t="s">
        <v>824</v>
      </c>
      <c r="C708" s="5">
        <v>37.52</v>
      </c>
      <c r="D708" s="5">
        <v>18.01</v>
      </c>
      <c r="E708" s="6">
        <v>1.93803879434859e-6</v>
      </c>
      <c r="F708" s="6">
        <v>1.08792204566043e-6</v>
      </c>
      <c r="G708" s="8">
        <v>-0.51998933901919</v>
      </c>
    </row>
    <row r="709" spans="1:7">
      <c r="A709" s="3">
        <v>705</v>
      </c>
      <c r="B709" s="3" t="s">
        <v>825</v>
      </c>
      <c r="C709" s="5">
        <v>0</v>
      </c>
      <c r="D709" s="5">
        <v>17.99</v>
      </c>
      <c r="E709" s="6">
        <v>0</v>
      </c>
      <c r="F709" s="6">
        <v>1.08671391457141e-6</v>
      </c>
      <c r="G709" s="3"/>
    </row>
    <row r="710" spans="1:7">
      <c r="A710" s="3">
        <v>706</v>
      </c>
      <c r="B710" s="3" t="s">
        <v>826</v>
      </c>
      <c r="C710" s="5">
        <v>0</v>
      </c>
      <c r="D710" s="5">
        <v>17.97</v>
      </c>
      <c r="E710" s="6">
        <v>0</v>
      </c>
      <c r="F710" s="6">
        <v>1.08550578348239e-6</v>
      </c>
      <c r="G710" s="3"/>
    </row>
    <row r="711" spans="1:7">
      <c r="A711" s="3">
        <v>707</v>
      </c>
      <c r="B711" s="3" t="s">
        <v>827</v>
      </c>
      <c r="C711" s="5">
        <v>0</v>
      </c>
      <c r="D711" s="5">
        <v>17.97</v>
      </c>
      <c r="E711" s="6">
        <v>0</v>
      </c>
      <c r="F711" s="6">
        <v>1.08550578348239e-6</v>
      </c>
      <c r="G711" s="3"/>
    </row>
    <row r="712" spans="1:7">
      <c r="A712" s="3">
        <v>708</v>
      </c>
      <c r="B712" s="3" t="s">
        <v>828</v>
      </c>
      <c r="C712" s="5">
        <v>0</v>
      </c>
      <c r="D712" s="5">
        <v>17.85</v>
      </c>
      <c r="E712" s="6">
        <v>0</v>
      </c>
      <c r="F712" s="6">
        <v>1.07825699694829e-6</v>
      </c>
      <c r="G712" s="3"/>
    </row>
    <row r="713" spans="1:7">
      <c r="A713" s="3">
        <v>709</v>
      </c>
      <c r="B713" s="3" t="s">
        <v>829</v>
      </c>
      <c r="C713" s="5">
        <v>267.55</v>
      </c>
      <c r="D713" s="5">
        <v>17.55</v>
      </c>
      <c r="E713" s="6">
        <v>1.38198901766515e-5</v>
      </c>
      <c r="F713" s="6">
        <v>1.06013503061302e-6</v>
      </c>
      <c r="G713" s="8">
        <v>-0.934404784152495</v>
      </c>
    </row>
    <row r="714" spans="1:7">
      <c r="A714" s="3">
        <v>710</v>
      </c>
      <c r="B714" s="3" t="s">
        <v>830</v>
      </c>
      <c r="C714" s="5">
        <v>147.96</v>
      </c>
      <c r="D714" s="5">
        <v>17.5</v>
      </c>
      <c r="E714" s="6">
        <v>7.64264978709533e-6</v>
      </c>
      <c r="F714" s="6">
        <v>1.05711470289048e-6</v>
      </c>
      <c r="G714" s="8">
        <v>-0.881724790483915</v>
      </c>
    </row>
    <row r="715" spans="1:7">
      <c r="A715" s="3">
        <v>711</v>
      </c>
      <c r="B715" s="3" t="s">
        <v>831</v>
      </c>
      <c r="C715" s="5">
        <v>0</v>
      </c>
      <c r="D715" s="5">
        <v>17.28</v>
      </c>
      <c r="E715" s="6">
        <v>0</v>
      </c>
      <c r="F715" s="6">
        <v>1.04382526091128e-6</v>
      </c>
      <c r="G715" s="3"/>
    </row>
    <row r="716" spans="1:7">
      <c r="A716" s="3">
        <v>712</v>
      </c>
      <c r="B716" s="3" t="s">
        <v>832</v>
      </c>
      <c r="C716" s="5">
        <v>0</v>
      </c>
      <c r="D716" s="5">
        <v>17.14</v>
      </c>
      <c r="E716" s="6">
        <v>0</v>
      </c>
      <c r="F716" s="6">
        <v>1.03536834328816e-6</v>
      </c>
      <c r="G716" s="3"/>
    </row>
    <row r="717" spans="1:7">
      <c r="A717" s="3">
        <v>713</v>
      </c>
      <c r="B717" s="3" t="s">
        <v>833</v>
      </c>
      <c r="C717" s="5">
        <v>5.93</v>
      </c>
      <c r="D717" s="5">
        <v>17.01</v>
      </c>
      <c r="E717" s="6">
        <v>3.06305171921299e-7</v>
      </c>
      <c r="F717" s="6">
        <v>1.02751549120954e-6</v>
      </c>
      <c r="G717" s="7">
        <v>1.86846543001686</v>
      </c>
    </row>
    <row r="718" spans="1:7">
      <c r="A718" s="3">
        <v>714</v>
      </c>
      <c r="B718" s="3" t="s">
        <v>834</v>
      </c>
      <c r="C718" s="5">
        <v>969.78</v>
      </c>
      <c r="D718" s="5">
        <v>16.99</v>
      </c>
      <c r="E718" s="6">
        <v>5.00925176434801e-5</v>
      </c>
      <c r="F718" s="6">
        <v>1.02630736012053e-6</v>
      </c>
      <c r="G718" s="8">
        <v>-0.982480562601827</v>
      </c>
    </row>
    <row r="719" spans="1:7">
      <c r="A719" s="3">
        <v>715</v>
      </c>
      <c r="B719" s="3" t="s">
        <v>835</v>
      </c>
      <c r="C719" s="5">
        <v>767.23</v>
      </c>
      <c r="D719" s="5">
        <v>16.99</v>
      </c>
      <c r="E719" s="6">
        <v>3.96301040561851e-5</v>
      </c>
      <c r="F719" s="6">
        <v>1.02630736012053e-6</v>
      </c>
      <c r="G719" s="8">
        <v>-0.977855401900343</v>
      </c>
    </row>
    <row r="720" spans="1:7">
      <c r="A720" s="3">
        <v>716</v>
      </c>
      <c r="B720" s="3" t="s">
        <v>836</v>
      </c>
      <c r="C720" s="5">
        <v>346.56</v>
      </c>
      <c r="D720" s="5">
        <v>16.99</v>
      </c>
      <c r="E720" s="6">
        <v>1.79010321047294e-5</v>
      </c>
      <c r="F720" s="6">
        <v>1.02630736012053e-6</v>
      </c>
      <c r="G720" s="8">
        <v>-0.950975300092336</v>
      </c>
    </row>
    <row r="721" spans="1:7">
      <c r="A721" s="3">
        <v>717</v>
      </c>
      <c r="B721" s="3" t="s">
        <v>837</v>
      </c>
      <c r="C721" s="5">
        <v>0</v>
      </c>
      <c r="D721" s="5">
        <v>16.99</v>
      </c>
      <c r="E721" s="6">
        <v>0</v>
      </c>
      <c r="F721" s="6">
        <v>1.02630736012053e-6</v>
      </c>
      <c r="G721" s="3"/>
    </row>
    <row r="722" spans="1:7">
      <c r="A722" s="3">
        <v>718</v>
      </c>
      <c r="B722" s="3" t="s">
        <v>838</v>
      </c>
      <c r="C722" s="5">
        <v>0</v>
      </c>
      <c r="D722" s="5">
        <v>16.98</v>
      </c>
      <c r="E722" s="6">
        <v>0</v>
      </c>
      <c r="F722" s="6">
        <v>1.02570329457602e-6</v>
      </c>
      <c r="G722" s="3"/>
    </row>
    <row r="723" spans="1:7">
      <c r="A723" s="3">
        <v>719</v>
      </c>
      <c r="B723" s="3" t="s">
        <v>839</v>
      </c>
      <c r="C723" s="5">
        <v>24.39</v>
      </c>
      <c r="D723" s="5">
        <v>16.96</v>
      </c>
      <c r="E723" s="6">
        <v>1.25982852329856e-6</v>
      </c>
      <c r="F723" s="6">
        <v>1.024495163487e-6</v>
      </c>
      <c r="G723" s="8">
        <v>-0.304633046330463</v>
      </c>
    </row>
    <row r="724" spans="1:7">
      <c r="A724" s="3">
        <v>720</v>
      </c>
      <c r="B724" s="3" t="s">
        <v>840</v>
      </c>
      <c r="C724" s="5">
        <v>84.78</v>
      </c>
      <c r="D724" s="5">
        <v>16.74</v>
      </c>
      <c r="E724" s="6">
        <v>4.37918254224076e-6</v>
      </c>
      <c r="F724" s="6">
        <v>1.0112057215078e-6</v>
      </c>
      <c r="G724" s="8">
        <v>-0.802547770700637</v>
      </c>
    </row>
    <row r="725" spans="1:7">
      <c r="A725" s="3">
        <v>721</v>
      </c>
      <c r="B725" s="3" t="s">
        <v>841</v>
      </c>
      <c r="C725" s="5">
        <v>223.86</v>
      </c>
      <c r="D725" s="5">
        <v>15.99</v>
      </c>
      <c r="E725" s="6">
        <v>1.1563149373744e-5</v>
      </c>
      <c r="F725" s="6">
        <v>9.65900805669642e-7</v>
      </c>
      <c r="G725" s="8">
        <v>-0.928571428571429</v>
      </c>
    </row>
    <row r="726" spans="1:7">
      <c r="A726" s="3">
        <v>722</v>
      </c>
      <c r="B726" s="3" t="s">
        <v>842</v>
      </c>
      <c r="C726" s="5">
        <v>32.97</v>
      </c>
      <c r="D726" s="5">
        <v>15.99</v>
      </c>
      <c r="E726" s="6">
        <v>1.70301543309363e-6</v>
      </c>
      <c r="F726" s="6">
        <v>9.65900805669642e-7</v>
      </c>
      <c r="G726" s="8">
        <v>-0.515013648771611</v>
      </c>
    </row>
    <row r="727" spans="1:7">
      <c r="A727" s="3">
        <v>723</v>
      </c>
      <c r="B727" s="3" t="s">
        <v>843</v>
      </c>
      <c r="C727" s="5">
        <v>29.99</v>
      </c>
      <c r="D727" s="5">
        <v>15.99</v>
      </c>
      <c r="E727" s="6">
        <v>1.54908804484313e-6</v>
      </c>
      <c r="F727" s="6">
        <v>9.65900805669642e-7</v>
      </c>
      <c r="G727" s="8">
        <v>-0.466822274091364</v>
      </c>
    </row>
    <row r="728" spans="1:7">
      <c r="A728" s="3">
        <v>724</v>
      </c>
      <c r="B728" s="3" t="s">
        <v>844</v>
      </c>
      <c r="C728" s="5">
        <v>44.4</v>
      </c>
      <c r="D728" s="5">
        <v>15.9</v>
      </c>
      <c r="E728" s="6">
        <v>2.29341477796048e-6</v>
      </c>
      <c r="F728" s="6">
        <v>9.60464215769062e-7</v>
      </c>
      <c r="G728" s="8">
        <v>-0.641891891891892</v>
      </c>
    </row>
    <row r="729" spans="1:7">
      <c r="A729" s="3">
        <v>725</v>
      </c>
      <c r="B729" s="3" t="s">
        <v>845</v>
      </c>
      <c r="C729" s="5">
        <v>0</v>
      </c>
      <c r="D729" s="5">
        <v>15.18</v>
      </c>
      <c r="E729" s="6">
        <v>0</v>
      </c>
      <c r="F729" s="6">
        <v>9.16971496564425e-7</v>
      </c>
      <c r="G729" s="3"/>
    </row>
    <row r="730" spans="1:7">
      <c r="A730" s="3">
        <v>726</v>
      </c>
      <c r="B730" s="3" t="s">
        <v>846</v>
      </c>
      <c r="C730" s="5">
        <v>59.96</v>
      </c>
      <c r="D730" s="5">
        <v>14.99</v>
      </c>
      <c r="E730" s="6">
        <v>3.09714301996645e-6</v>
      </c>
      <c r="F730" s="6">
        <v>9.05494251218757e-7</v>
      </c>
      <c r="G730" s="8">
        <v>-0.75</v>
      </c>
    </row>
    <row r="731" spans="1:7">
      <c r="A731" s="3">
        <v>727</v>
      </c>
      <c r="B731" s="3" t="s">
        <v>847</v>
      </c>
      <c r="C731" s="5">
        <v>9.98</v>
      </c>
      <c r="D731" s="5">
        <v>14.97</v>
      </c>
      <c r="E731" s="6">
        <v>5.15501790181207e-7</v>
      </c>
      <c r="F731" s="6">
        <v>9.0428612012974e-7</v>
      </c>
      <c r="G731" s="7">
        <v>0.5</v>
      </c>
    </row>
    <row r="732" spans="1:7">
      <c r="A732" s="3">
        <v>728</v>
      </c>
      <c r="B732" s="3" t="s">
        <v>848</v>
      </c>
      <c r="C732" s="5">
        <v>605.76</v>
      </c>
      <c r="D732" s="5">
        <v>14.49</v>
      </c>
      <c r="E732" s="6">
        <v>3.12896156733635e-5</v>
      </c>
      <c r="F732" s="6">
        <v>8.75290973993315e-7</v>
      </c>
      <c r="G732" s="8">
        <v>-0.976079635499208</v>
      </c>
    </row>
    <row r="733" spans="1:7">
      <c r="A733" s="3">
        <v>729</v>
      </c>
      <c r="B733" s="3" t="s">
        <v>849</v>
      </c>
      <c r="C733" s="5">
        <v>0</v>
      </c>
      <c r="D733" s="5">
        <v>14.4</v>
      </c>
      <c r="E733" s="6">
        <v>0</v>
      </c>
      <c r="F733" s="6">
        <v>8.69854384092735e-7</v>
      </c>
      <c r="G733" s="3"/>
    </row>
    <row r="734" spans="1:7">
      <c r="A734" s="3">
        <v>730</v>
      </c>
      <c r="B734" s="3" t="s">
        <v>850</v>
      </c>
      <c r="C734" s="5">
        <v>29.33</v>
      </c>
      <c r="D734" s="5">
        <v>14.38</v>
      </c>
      <c r="E734" s="6">
        <v>1.51499674408966e-6</v>
      </c>
      <c r="F734" s="6">
        <v>8.68646253003718e-7</v>
      </c>
      <c r="G734" s="8">
        <v>-0.509717013296966</v>
      </c>
    </row>
    <row r="735" spans="1:7">
      <c r="A735" s="3">
        <v>731</v>
      </c>
      <c r="B735" s="3" t="s">
        <v>851</v>
      </c>
      <c r="C735" s="5">
        <v>13.99</v>
      </c>
      <c r="D735" s="5">
        <v>13.99</v>
      </c>
      <c r="E735" s="6">
        <v>7.22632269001512e-7</v>
      </c>
      <c r="F735" s="6">
        <v>8.45087696767873e-7</v>
      </c>
      <c r="G735" s="7">
        <v>0</v>
      </c>
    </row>
    <row r="736" spans="1:7">
      <c r="A736" s="3">
        <v>732</v>
      </c>
      <c r="B736" s="3" t="s">
        <v>852</v>
      </c>
      <c r="C736" s="5">
        <v>0</v>
      </c>
      <c r="D736" s="5">
        <v>13.83</v>
      </c>
      <c r="E736" s="6">
        <v>0</v>
      </c>
      <c r="F736" s="6">
        <v>8.35422648055731e-7</v>
      </c>
      <c r="G736" s="3"/>
    </row>
    <row r="737" spans="1:7">
      <c r="A737" s="3">
        <v>733</v>
      </c>
      <c r="B737" s="3" t="s">
        <v>853</v>
      </c>
      <c r="C737" s="5">
        <v>28.55</v>
      </c>
      <c r="D737" s="5">
        <v>13.77</v>
      </c>
      <c r="E737" s="6">
        <v>1.47470702501738e-6</v>
      </c>
      <c r="F737" s="6">
        <v>8.31798254788678e-7</v>
      </c>
      <c r="G737" s="8">
        <v>-0.51768826619965</v>
      </c>
    </row>
    <row r="738" spans="1:7">
      <c r="A738" s="3">
        <v>734</v>
      </c>
      <c r="B738" s="3" t="s">
        <v>854</v>
      </c>
      <c r="C738" s="5">
        <v>32.33</v>
      </c>
      <c r="D738" s="5">
        <v>13.11</v>
      </c>
      <c r="E738" s="6">
        <v>1.66995720205996e-6</v>
      </c>
      <c r="F738" s="6">
        <v>7.91929928851094e-7</v>
      </c>
      <c r="G738" s="8">
        <v>-0.594494277760594</v>
      </c>
    </row>
    <row r="739" spans="1:7">
      <c r="A739" s="3">
        <v>735</v>
      </c>
      <c r="B739" s="3" t="s">
        <v>855</v>
      </c>
      <c r="C739" s="5">
        <v>172.97</v>
      </c>
      <c r="D739" s="5">
        <v>12.99</v>
      </c>
      <c r="E739" s="6">
        <v>8.93450347170776e-6</v>
      </c>
      <c r="F739" s="6">
        <v>7.84681142316988e-7</v>
      </c>
      <c r="G739" s="8">
        <v>-0.92490027172342</v>
      </c>
    </row>
    <row r="740" spans="1:7">
      <c r="A740" s="3">
        <v>736</v>
      </c>
      <c r="B740" s="3" t="s">
        <v>856</v>
      </c>
      <c r="C740" s="5">
        <v>38.43</v>
      </c>
      <c r="D740" s="5">
        <v>12.98</v>
      </c>
      <c r="E740" s="6">
        <v>1.98504346659958e-6</v>
      </c>
      <c r="F740" s="6">
        <v>7.8407707677248e-7</v>
      </c>
      <c r="G740" s="8">
        <v>-0.66224303929222</v>
      </c>
    </row>
    <row r="741" spans="1:7">
      <c r="A741" s="3">
        <v>737</v>
      </c>
      <c r="B741" s="3" t="s">
        <v>857</v>
      </c>
      <c r="C741" s="5">
        <v>5.99</v>
      </c>
      <c r="D741" s="5">
        <v>12.98</v>
      </c>
      <c r="E741" s="6">
        <v>3.09404381080705e-7</v>
      </c>
      <c r="F741" s="6">
        <v>7.8407707677248e-7</v>
      </c>
      <c r="G741" s="7">
        <v>1.1669449081803</v>
      </c>
    </row>
    <row r="742" spans="1:7">
      <c r="A742" s="3">
        <v>738</v>
      </c>
      <c r="B742" s="3" t="s">
        <v>858</v>
      </c>
      <c r="C742" s="5">
        <v>0</v>
      </c>
      <c r="D742" s="5">
        <v>12.63</v>
      </c>
      <c r="E742" s="6">
        <v>0</v>
      </c>
      <c r="F742" s="6">
        <v>7.6293478271467e-7</v>
      </c>
      <c r="G742" s="3"/>
    </row>
    <row r="743" spans="1:7">
      <c r="A743" s="3">
        <v>739</v>
      </c>
      <c r="B743" s="3" t="s">
        <v>859</v>
      </c>
      <c r="C743" s="5">
        <v>22.08</v>
      </c>
      <c r="D743" s="5">
        <v>12.52</v>
      </c>
      <c r="E743" s="6">
        <v>1.14050897066143e-6</v>
      </c>
      <c r="F743" s="6">
        <v>7.56290061725073e-7</v>
      </c>
      <c r="G743" s="8">
        <v>-0.432971014492753</v>
      </c>
    </row>
    <row r="744" spans="1:7">
      <c r="A744" s="3">
        <v>740</v>
      </c>
      <c r="B744" s="3" t="s">
        <v>860</v>
      </c>
      <c r="C744" s="5">
        <v>30.71</v>
      </c>
      <c r="D744" s="5">
        <v>12.45</v>
      </c>
      <c r="E744" s="6">
        <v>1.586278554756e-6</v>
      </c>
      <c r="F744" s="6">
        <v>7.52061602913511e-7</v>
      </c>
      <c r="G744" s="8">
        <v>-0.594594594594595</v>
      </c>
    </row>
    <row r="745" spans="1:7">
      <c r="A745" s="3">
        <v>741</v>
      </c>
      <c r="B745" s="3" t="s">
        <v>861</v>
      </c>
      <c r="C745" s="5">
        <v>0</v>
      </c>
      <c r="D745" s="5">
        <v>12.38</v>
      </c>
      <c r="E745" s="6">
        <v>0</v>
      </c>
      <c r="F745" s="6">
        <v>7.47833144101949e-7</v>
      </c>
      <c r="G745" s="3"/>
    </row>
    <row r="746" spans="1:7">
      <c r="A746" s="3">
        <v>742</v>
      </c>
      <c r="B746" s="3" t="s">
        <v>862</v>
      </c>
      <c r="C746" s="5">
        <v>0</v>
      </c>
      <c r="D746" s="5">
        <v>11.99</v>
      </c>
      <c r="E746" s="6">
        <v>0</v>
      </c>
      <c r="F746" s="6">
        <v>7.24274587866104e-7</v>
      </c>
      <c r="G746" s="3"/>
    </row>
    <row r="747" spans="1:7">
      <c r="A747" s="3">
        <v>743</v>
      </c>
      <c r="B747" s="3" t="s">
        <v>863</v>
      </c>
      <c r="C747" s="5">
        <v>299.7</v>
      </c>
      <c r="D747" s="5">
        <v>11.98</v>
      </c>
      <c r="E747" s="6">
        <v>1.54805497512332e-5</v>
      </c>
      <c r="F747" s="6">
        <v>7.23670522321595e-7</v>
      </c>
      <c r="G747" s="8">
        <v>-0.960026693360027</v>
      </c>
    </row>
    <row r="748" spans="1:7">
      <c r="A748" s="3">
        <v>744</v>
      </c>
      <c r="B748" s="3" t="s">
        <v>864</v>
      </c>
      <c r="C748" s="5">
        <v>5.54</v>
      </c>
      <c r="D748" s="5">
        <v>11.98</v>
      </c>
      <c r="E748" s="6">
        <v>2.86160312385159e-7</v>
      </c>
      <c r="F748" s="6">
        <v>7.23670522321595e-7</v>
      </c>
      <c r="G748" s="7">
        <v>1.16245487364621</v>
      </c>
    </row>
    <row r="749" spans="1:7">
      <c r="A749" s="3">
        <v>745</v>
      </c>
      <c r="B749" s="3" t="s">
        <v>865</v>
      </c>
      <c r="C749" s="5">
        <v>0</v>
      </c>
      <c r="D749" s="5">
        <v>11.98</v>
      </c>
      <c r="E749" s="6">
        <v>0</v>
      </c>
      <c r="F749" s="6">
        <v>7.23670522321595e-7</v>
      </c>
      <c r="G749" s="3"/>
    </row>
    <row r="750" spans="1:7">
      <c r="A750" s="3">
        <v>746</v>
      </c>
      <c r="B750" s="3" t="s">
        <v>866</v>
      </c>
      <c r="C750" s="5">
        <v>0</v>
      </c>
      <c r="D750" s="5">
        <v>11.98</v>
      </c>
      <c r="E750" s="6">
        <v>0</v>
      </c>
      <c r="F750" s="6">
        <v>7.23670522321595e-7</v>
      </c>
      <c r="G750" s="3"/>
    </row>
    <row r="751" spans="1:7">
      <c r="A751" s="3">
        <v>747</v>
      </c>
      <c r="B751" s="3" t="s">
        <v>867</v>
      </c>
      <c r="C751" s="5">
        <v>47.8</v>
      </c>
      <c r="D751" s="5">
        <v>11.95</v>
      </c>
      <c r="E751" s="6">
        <v>2.46903663032682e-6</v>
      </c>
      <c r="F751" s="6">
        <v>7.21858325688069e-7</v>
      </c>
      <c r="G751" s="8">
        <v>-0.75</v>
      </c>
    </row>
    <row r="752" spans="1:7">
      <c r="A752" s="3">
        <v>748</v>
      </c>
      <c r="B752" s="3" t="s">
        <v>868</v>
      </c>
      <c r="C752" s="5">
        <v>5.98</v>
      </c>
      <c r="D752" s="5">
        <v>11.53</v>
      </c>
      <c r="E752" s="6">
        <v>3.08887846220804e-7</v>
      </c>
      <c r="F752" s="6">
        <v>6.96487572818697e-7</v>
      </c>
      <c r="G752" s="7">
        <v>0.92809364548495</v>
      </c>
    </row>
    <row r="753" spans="1:7">
      <c r="A753" s="3">
        <v>749</v>
      </c>
      <c r="B753" s="3" t="s">
        <v>869</v>
      </c>
      <c r="C753" s="5">
        <v>0</v>
      </c>
      <c r="D753" s="5">
        <v>10.89</v>
      </c>
      <c r="E753" s="6">
        <v>0</v>
      </c>
      <c r="F753" s="6">
        <v>6.57827377970131e-7</v>
      </c>
      <c r="G753" s="3"/>
    </row>
    <row r="754" spans="1:7">
      <c r="A754" s="3">
        <v>750</v>
      </c>
      <c r="B754" s="3" t="s">
        <v>870</v>
      </c>
      <c r="C754" s="5">
        <v>13.89</v>
      </c>
      <c r="D754" s="5">
        <v>10.79</v>
      </c>
      <c r="E754" s="6">
        <v>7.17466920402502e-7</v>
      </c>
      <c r="F754" s="6">
        <v>6.51786722525043e-7</v>
      </c>
      <c r="G754" s="8">
        <v>-0.223182145428366</v>
      </c>
    </row>
    <row r="755" spans="1:7">
      <c r="A755" s="3">
        <v>751</v>
      </c>
      <c r="B755" s="3" t="s">
        <v>871</v>
      </c>
      <c r="C755" s="5">
        <v>183.82</v>
      </c>
      <c r="D755" s="5">
        <v>10.57</v>
      </c>
      <c r="E755" s="6">
        <v>9.49494379470035e-6</v>
      </c>
      <c r="F755" s="6">
        <v>6.38497280545848e-7</v>
      </c>
      <c r="G755" s="8">
        <v>-0.942498095963442</v>
      </c>
    </row>
    <row r="756" spans="1:7">
      <c r="A756" s="3">
        <v>752</v>
      </c>
      <c r="B756" s="3" t="s">
        <v>872</v>
      </c>
      <c r="C756" s="5">
        <v>14.74</v>
      </c>
      <c r="D756" s="5">
        <v>10.45</v>
      </c>
      <c r="E756" s="6">
        <v>7.61372383494088e-7</v>
      </c>
      <c r="F756" s="6">
        <v>6.31248494011742e-7</v>
      </c>
      <c r="G756" s="8">
        <v>-0.291044776119403</v>
      </c>
    </row>
    <row r="757" spans="1:7">
      <c r="A757" s="3">
        <v>753</v>
      </c>
      <c r="B757" s="3" t="s">
        <v>873</v>
      </c>
      <c r="C757" s="5">
        <v>0</v>
      </c>
      <c r="D757" s="5">
        <v>10.19</v>
      </c>
      <c r="E757" s="6">
        <v>0</v>
      </c>
      <c r="F757" s="6">
        <v>6.15542789854512e-7</v>
      </c>
      <c r="G757" s="3"/>
    </row>
    <row r="758" spans="1:7">
      <c r="A758" s="3">
        <v>754</v>
      </c>
      <c r="B758" s="3" t="s">
        <v>874</v>
      </c>
      <c r="C758" s="5">
        <v>0</v>
      </c>
      <c r="D758" s="5">
        <v>10.09</v>
      </c>
      <c r="E758" s="6">
        <v>0</v>
      </c>
      <c r="F758" s="6">
        <v>6.09502134409424e-7</v>
      </c>
      <c r="G758" s="3"/>
    </row>
    <row r="759" spans="1:7">
      <c r="A759" s="3">
        <v>755</v>
      </c>
      <c r="B759" s="3" t="s">
        <v>875</v>
      </c>
      <c r="C759" s="5">
        <v>31.88</v>
      </c>
      <c r="D759" s="5">
        <v>9.99</v>
      </c>
      <c r="E759" s="6">
        <v>1.64671313336442e-6</v>
      </c>
      <c r="F759" s="6">
        <v>6.03461478964335e-7</v>
      </c>
      <c r="G759" s="8">
        <v>-0.6866373902133</v>
      </c>
    </row>
    <row r="760" spans="1:7">
      <c r="A760" s="3">
        <v>756</v>
      </c>
      <c r="B760" s="3" t="s">
        <v>876</v>
      </c>
      <c r="C760" s="5">
        <v>0</v>
      </c>
      <c r="D760" s="5">
        <v>9.99</v>
      </c>
      <c r="E760" s="6">
        <v>0</v>
      </c>
      <c r="F760" s="6">
        <v>6.03461478964335e-7</v>
      </c>
      <c r="G760" s="3"/>
    </row>
    <row r="761" spans="1:7">
      <c r="A761" s="3">
        <v>757</v>
      </c>
      <c r="B761" s="3" t="s">
        <v>877</v>
      </c>
      <c r="C761" s="5">
        <v>0</v>
      </c>
      <c r="D761" s="5">
        <v>9.99</v>
      </c>
      <c r="E761" s="6">
        <v>0</v>
      </c>
      <c r="F761" s="6">
        <v>6.03461478964335e-7</v>
      </c>
      <c r="G761" s="3"/>
    </row>
    <row r="762" spans="1:7">
      <c r="A762" s="3">
        <v>758</v>
      </c>
      <c r="B762" s="3" t="s">
        <v>878</v>
      </c>
      <c r="C762" s="5">
        <v>11.98</v>
      </c>
      <c r="D762" s="5">
        <v>9.98</v>
      </c>
      <c r="E762" s="6">
        <v>6.18808762161409e-7</v>
      </c>
      <c r="F762" s="6">
        <v>6.02857413419826e-7</v>
      </c>
      <c r="G762" s="8">
        <v>-0.1669449081803</v>
      </c>
    </row>
    <row r="763" spans="1:7">
      <c r="A763" s="3">
        <v>759</v>
      </c>
      <c r="B763" s="3" t="s">
        <v>879</v>
      </c>
      <c r="C763" s="5">
        <v>0</v>
      </c>
      <c r="D763" s="5">
        <v>9.98</v>
      </c>
      <c r="E763" s="6">
        <v>0</v>
      </c>
      <c r="F763" s="6">
        <v>6.02857413419826e-7</v>
      </c>
      <c r="G763" s="3"/>
    </row>
    <row r="764" spans="1:7">
      <c r="A764" s="3">
        <v>760</v>
      </c>
      <c r="B764" s="3" t="s">
        <v>880</v>
      </c>
      <c r="C764" s="5">
        <v>579.93</v>
      </c>
      <c r="D764" s="5">
        <v>9.95</v>
      </c>
      <c r="E764" s="6">
        <v>2.99554061302392e-5</v>
      </c>
      <c r="F764" s="6">
        <v>6.010452167863e-7</v>
      </c>
      <c r="G764" s="8">
        <v>-0.982842756884452</v>
      </c>
    </row>
    <row r="765" spans="1:7">
      <c r="A765" s="3">
        <v>761</v>
      </c>
      <c r="B765" s="3" t="s">
        <v>881</v>
      </c>
      <c r="C765" s="5">
        <v>28.77</v>
      </c>
      <c r="D765" s="5">
        <v>9.59</v>
      </c>
      <c r="E765" s="6">
        <v>1.4860707919352e-6</v>
      </c>
      <c r="F765" s="6">
        <v>5.79298857183981e-7</v>
      </c>
      <c r="G765" s="8">
        <v>-0.666666666666667</v>
      </c>
    </row>
    <row r="766" spans="1:7">
      <c r="A766" s="3">
        <v>762</v>
      </c>
      <c r="B766" s="3" t="s">
        <v>882</v>
      </c>
      <c r="C766" s="5">
        <v>0</v>
      </c>
      <c r="D766" s="5">
        <v>9</v>
      </c>
      <c r="E766" s="6">
        <v>0</v>
      </c>
      <c r="F766" s="6">
        <v>5.4365899005796e-7</v>
      </c>
      <c r="G766" s="3"/>
    </row>
    <row r="767" spans="1:7">
      <c r="A767" s="3">
        <v>763</v>
      </c>
      <c r="B767" s="3" t="s">
        <v>883</v>
      </c>
      <c r="C767" s="5">
        <v>91.46</v>
      </c>
      <c r="D767" s="5">
        <v>8.99</v>
      </c>
      <c r="E767" s="6">
        <v>4.72422782865463e-6</v>
      </c>
      <c r="F767" s="6">
        <v>5.43054924513451e-7</v>
      </c>
      <c r="G767" s="8">
        <v>-0.901705663678111</v>
      </c>
    </row>
    <row r="768" spans="1:7">
      <c r="A768" s="3">
        <v>764</v>
      </c>
      <c r="B768" s="3" t="s">
        <v>884</v>
      </c>
      <c r="C768" s="5">
        <v>0</v>
      </c>
      <c r="D768" s="5">
        <v>8.89</v>
      </c>
      <c r="E768" s="6">
        <v>0</v>
      </c>
      <c r="F768" s="6">
        <v>5.37014269068362e-7</v>
      </c>
      <c r="G768" s="3"/>
    </row>
    <row r="769" spans="1:7">
      <c r="A769" s="3">
        <v>765</v>
      </c>
      <c r="B769" s="3" t="s">
        <v>885</v>
      </c>
      <c r="C769" s="5">
        <v>0</v>
      </c>
      <c r="D769" s="5">
        <v>8.39</v>
      </c>
      <c r="E769" s="6">
        <v>0</v>
      </c>
      <c r="F769" s="6">
        <v>5.0681099184292e-7</v>
      </c>
      <c r="G769" s="3"/>
    </row>
    <row r="770" spans="1:7">
      <c r="A770" s="3">
        <v>766</v>
      </c>
      <c r="B770" s="3" t="s">
        <v>886</v>
      </c>
      <c r="C770" s="5">
        <v>0</v>
      </c>
      <c r="D770" s="5">
        <v>8.13</v>
      </c>
      <c r="E770" s="6">
        <v>0</v>
      </c>
      <c r="F770" s="6">
        <v>4.9110528768569e-7</v>
      </c>
      <c r="G770" s="3"/>
    </row>
    <row r="771" spans="1:7">
      <c r="A771" s="3">
        <v>767</v>
      </c>
      <c r="B771" s="3" t="s">
        <v>887</v>
      </c>
      <c r="C771" s="5">
        <v>344.01</v>
      </c>
      <c r="D771" s="5">
        <v>8.07</v>
      </c>
      <c r="E771" s="6">
        <v>1.77693157154546e-5</v>
      </c>
      <c r="F771" s="6">
        <v>4.87480894418637e-7</v>
      </c>
      <c r="G771" s="8">
        <v>-0.976541379611058</v>
      </c>
    </row>
    <row r="772" spans="1:7">
      <c r="A772" s="3">
        <v>768</v>
      </c>
      <c r="B772" s="3" t="s">
        <v>888</v>
      </c>
      <c r="C772" s="5">
        <v>517.44</v>
      </c>
      <c r="D772" s="5">
        <v>7.99</v>
      </c>
      <c r="E772" s="6">
        <v>2.67275797907178e-5</v>
      </c>
      <c r="F772" s="6">
        <v>4.82648370062566e-7</v>
      </c>
      <c r="G772" s="8">
        <v>-0.984558596165739</v>
      </c>
    </row>
    <row r="773" spans="1:7">
      <c r="A773" s="3">
        <v>769</v>
      </c>
      <c r="B773" s="3" t="s">
        <v>889</v>
      </c>
      <c r="C773" s="5">
        <v>39.95</v>
      </c>
      <c r="D773" s="5">
        <v>7.99</v>
      </c>
      <c r="E773" s="6">
        <v>2.06355676530453e-6</v>
      </c>
      <c r="F773" s="6">
        <v>4.82648370062566e-7</v>
      </c>
      <c r="G773" s="8">
        <v>-0.8</v>
      </c>
    </row>
    <row r="774" spans="1:7">
      <c r="A774" s="3">
        <v>770</v>
      </c>
      <c r="B774" s="3" t="s">
        <v>890</v>
      </c>
      <c r="C774" s="5">
        <v>0</v>
      </c>
      <c r="D774" s="5">
        <v>7.99</v>
      </c>
      <c r="E774" s="6">
        <v>0</v>
      </c>
      <c r="F774" s="6">
        <v>4.82648370062566e-7</v>
      </c>
      <c r="G774" s="3"/>
    </row>
    <row r="775" spans="1:7">
      <c r="A775" s="3">
        <v>771</v>
      </c>
      <c r="B775" s="3" t="s">
        <v>891</v>
      </c>
      <c r="C775" s="5">
        <v>0</v>
      </c>
      <c r="D775" s="5">
        <v>7.99</v>
      </c>
      <c r="E775" s="6">
        <v>0</v>
      </c>
      <c r="F775" s="6">
        <v>4.82648370062566e-7</v>
      </c>
      <c r="G775" s="3"/>
    </row>
    <row r="776" spans="1:7">
      <c r="A776" s="3">
        <v>772</v>
      </c>
      <c r="B776" s="3" t="s">
        <v>892</v>
      </c>
      <c r="C776" s="5">
        <v>0</v>
      </c>
      <c r="D776" s="5">
        <v>7.98</v>
      </c>
      <c r="E776" s="6">
        <v>0</v>
      </c>
      <c r="F776" s="6">
        <v>4.82044304518058e-7</v>
      </c>
      <c r="G776" s="3"/>
    </row>
    <row r="777" spans="1:7">
      <c r="A777" s="3">
        <v>773</v>
      </c>
      <c r="B777" s="3" t="s">
        <v>893</v>
      </c>
      <c r="C777" s="5">
        <v>0</v>
      </c>
      <c r="D777" s="5">
        <v>7.89</v>
      </c>
      <c r="E777" s="6">
        <v>0</v>
      </c>
      <c r="F777" s="6">
        <v>4.76607714617478e-7</v>
      </c>
      <c r="G777" s="3"/>
    </row>
    <row r="778" spans="1:7">
      <c r="A778" s="3">
        <v>774</v>
      </c>
      <c r="B778" s="3" t="s">
        <v>894</v>
      </c>
      <c r="C778" s="5">
        <v>0</v>
      </c>
      <c r="D778" s="5">
        <v>7.73</v>
      </c>
      <c r="E778" s="6">
        <v>0</v>
      </c>
      <c r="F778" s="6">
        <v>4.66942665905337e-7</v>
      </c>
      <c r="G778" s="3"/>
    </row>
    <row r="779" spans="1:7">
      <c r="A779" s="3">
        <v>775</v>
      </c>
      <c r="B779" s="3" t="s">
        <v>895</v>
      </c>
      <c r="C779" s="5">
        <v>55.92</v>
      </c>
      <c r="D779" s="5">
        <v>7.49</v>
      </c>
      <c r="E779" s="6">
        <v>2.88846293656644e-6</v>
      </c>
      <c r="F779" s="6">
        <v>4.52445092837124e-7</v>
      </c>
      <c r="G779" s="8">
        <v>-0.866058655221745</v>
      </c>
    </row>
    <row r="780" spans="1:7">
      <c r="A780" s="3">
        <v>776</v>
      </c>
      <c r="B780" s="3" t="s">
        <v>896</v>
      </c>
      <c r="C780" s="5">
        <v>49.9</v>
      </c>
      <c r="D780" s="5">
        <v>7.43</v>
      </c>
      <c r="E780" s="6">
        <v>2.57750895090604e-6</v>
      </c>
      <c r="F780" s="6">
        <v>4.48820699570071e-7</v>
      </c>
      <c r="G780" s="8">
        <v>-0.851102204408818</v>
      </c>
    </row>
    <row r="781" spans="1:7">
      <c r="A781" s="3">
        <v>777</v>
      </c>
      <c r="B781" s="3" t="s">
        <v>897</v>
      </c>
      <c r="C781" s="5">
        <v>0</v>
      </c>
      <c r="D781" s="5">
        <v>7.24</v>
      </c>
      <c r="E781" s="6">
        <v>0</v>
      </c>
      <c r="F781" s="6">
        <v>4.37343454224403e-7</v>
      </c>
      <c r="G781" s="3"/>
    </row>
    <row r="782" spans="1:7">
      <c r="A782" s="3">
        <v>778</v>
      </c>
      <c r="B782" s="3" t="s">
        <v>898</v>
      </c>
      <c r="C782" s="5">
        <v>44</v>
      </c>
      <c r="D782" s="5">
        <v>6.99</v>
      </c>
      <c r="E782" s="6">
        <v>2.27275338356444e-6</v>
      </c>
      <c r="F782" s="6">
        <v>4.22241815611682e-7</v>
      </c>
      <c r="G782" s="8">
        <v>-0.841136363636364</v>
      </c>
    </row>
    <row r="783" spans="1:7">
      <c r="A783" s="3">
        <v>779</v>
      </c>
      <c r="B783" s="3" t="s">
        <v>899</v>
      </c>
      <c r="C783" s="5">
        <v>35.04</v>
      </c>
      <c r="D783" s="5">
        <v>6.99</v>
      </c>
      <c r="E783" s="6">
        <v>1.80993814909314e-6</v>
      </c>
      <c r="F783" s="6">
        <v>4.22241815611682e-7</v>
      </c>
      <c r="G783" s="8">
        <v>-0.800513698630137</v>
      </c>
    </row>
    <row r="784" spans="1:7">
      <c r="A784" s="3">
        <v>780</v>
      </c>
      <c r="B784" s="3" t="s">
        <v>900</v>
      </c>
      <c r="C784" s="5">
        <v>0</v>
      </c>
      <c r="D784" s="5">
        <v>6.99</v>
      </c>
      <c r="E784" s="6">
        <v>0</v>
      </c>
      <c r="F784" s="6">
        <v>4.22241815611682e-7</v>
      </c>
      <c r="G784" s="3"/>
    </row>
    <row r="785" spans="1:7">
      <c r="A785" s="3">
        <v>781</v>
      </c>
      <c r="B785" s="3" t="s">
        <v>901</v>
      </c>
      <c r="C785" s="5">
        <v>0</v>
      </c>
      <c r="D785" s="5">
        <v>6.74</v>
      </c>
      <c r="E785" s="6">
        <v>0</v>
      </c>
      <c r="F785" s="6">
        <v>4.07140176998961e-7</v>
      </c>
      <c r="G785" s="3"/>
    </row>
    <row r="786" spans="1:7">
      <c r="A786" s="3">
        <v>782</v>
      </c>
      <c r="B786" s="3" t="s">
        <v>902</v>
      </c>
      <c r="C786" s="5">
        <v>27.95</v>
      </c>
      <c r="D786" s="5">
        <v>6.49</v>
      </c>
      <c r="E786" s="6">
        <v>1.44371493342332e-6</v>
      </c>
      <c r="F786" s="6">
        <v>3.9203853838624e-7</v>
      </c>
      <c r="G786" s="8">
        <v>-0.767799642218247</v>
      </c>
    </row>
    <row r="787" spans="1:7">
      <c r="A787" s="3">
        <v>783</v>
      </c>
      <c r="B787" s="3" t="s">
        <v>903</v>
      </c>
      <c r="C787" s="5">
        <v>0</v>
      </c>
      <c r="D787" s="5">
        <v>5.98</v>
      </c>
      <c r="E787" s="6">
        <v>0</v>
      </c>
      <c r="F787" s="6">
        <v>3.61231195616289e-7</v>
      </c>
      <c r="G787" s="3"/>
    </row>
    <row r="788" spans="1:7">
      <c r="A788" s="3">
        <v>784</v>
      </c>
      <c r="B788" s="3" t="s">
        <v>904</v>
      </c>
      <c r="C788" s="5">
        <v>7.89</v>
      </c>
      <c r="D788" s="5">
        <v>5.79</v>
      </c>
      <c r="E788" s="6">
        <v>4.07546004461896e-7</v>
      </c>
      <c r="F788" s="6">
        <v>3.49753950270621e-7</v>
      </c>
      <c r="G788" s="8">
        <v>-0.26615969581749</v>
      </c>
    </row>
    <row r="789" spans="1:7">
      <c r="A789" s="3">
        <v>785</v>
      </c>
      <c r="B789" s="3" t="s">
        <v>905</v>
      </c>
      <c r="C789" s="5">
        <v>0</v>
      </c>
      <c r="D789" s="5">
        <v>5.48</v>
      </c>
      <c r="E789" s="6">
        <v>0</v>
      </c>
      <c r="F789" s="6">
        <v>3.31027918390847e-7</v>
      </c>
      <c r="G789" s="3"/>
    </row>
    <row r="790" spans="1:7">
      <c r="A790" s="3">
        <v>786</v>
      </c>
      <c r="B790" s="3" t="s">
        <v>906</v>
      </c>
      <c r="C790" s="5">
        <v>6.99</v>
      </c>
      <c r="D790" s="5">
        <v>4.99</v>
      </c>
      <c r="E790" s="6">
        <v>3.61057867070806e-7</v>
      </c>
      <c r="F790" s="6">
        <v>3.01428706709913e-7</v>
      </c>
      <c r="G790" s="8">
        <v>-0.286123032904149</v>
      </c>
    </row>
    <row r="791" spans="1:7">
      <c r="A791" s="3">
        <v>787</v>
      </c>
      <c r="B791" s="3" t="s">
        <v>907</v>
      </c>
      <c r="C791" s="5">
        <v>0</v>
      </c>
      <c r="D791" s="5">
        <v>4.99</v>
      </c>
      <c r="E791" s="6">
        <v>0</v>
      </c>
      <c r="F791" s="6">
        <v>3.01428706709913e-7</v>
      </c>
      <c r="G791" s="3"/>
    </row>
    <row r="792" spans="1:7">
      <c r="A792" s="3">
        <v>788</v>
      </c>
      <c r="B792" s="3" t="s">
        <v>908</v>
      </c>
      <c r="C792" s="5">
        <v>0</v>
      </c>
      <c r="D792" s="5">
        <v>4.99</v>
      </c>
      <c r="E792" s="6">
        <v>0</v>
      </c>
      <c r="F792" s="6">
        <v>3.01428706709913e-7</v>
      </c>
      <c r="G792" s="3"/>
    </row>
    <row r="793" spans="1:7">
      <c r="A793" s="3">
        <v>789</v>
      </c>
      <c r="B793" s="3" t="s">
        <v>909</v>
      </c>
      <c r="C793" s="5">
        <v>0</v>
      </c>
      <c r="D793" s="5">
        <v>4.99</v>
      </c>
      <c r="E793" s="6">
        <v>0</v>
      </c>
      <c r="F793" s="6">
        <v>3.01428706709913e-7</v>
      </c>
      <c r="G793" s="3"/>
    </row>
    <row r="794" spans="1:7">
      <c r="A794" s="3">
        <v>790</v>
      </c>
      <c r="B794" s="3" t="s">
        <v>910</v>
      </c>
      <c r="C794" s="5">
        <v>0</v>
      </c>
      <c r="D794" s="5">
        <v>4.98</v>
      </c>
      <c r="E794" s="6">
        <v>0</v>
      </c>
      <c r="F794" s="6">
        <v>3.00824641165404e-7</v>
      </c>
      <c r="G794" s="3"/>
    </row>
    <row r="795" spans="1:7">
      <c r="A795" s="3">
        <v>791</v>
      </c>
      <c r="B795" s="3" t="s">
        <v>911</v>
      </c>
      <c r="C795" s="5">
        <v>2.99</v>
      </c>
      <c r="D795" s="5">
        <v>4.49</v>
      </c>
      <c r="E795" s="6">
        <v>1.54443923110402e-7</v>
      </c>
      <c r="F795" s="6">
        <v>2.71225429484471e-7</v>
      </c>
      <c r="G795" s="7">
        <v>0.501672240802675</v>
      </c>
    </row>
    <row r="796" spans="1:7">
      <c r="A796" s="3">
        <v>792</v>
      </c>
      <c r="B796" s="3" t="s">
        <v>912</v>
      </c>
      <c r="C796" s="5">
        <v>31.89</v>
      </c>
      <c r="D796" s="5">
        <v>3.99</v>
      </c>
      <c r="E796" s="6">
        <v>1.64722966822432e-6</v>
      </c>
      <c r="F796" s="6">
        <v>2.41022152259029e-7</v>
      </c>
      <c r="G796" s="8">
        <v>-0.874882408278457</v>
      </c>
    </row>
    <row r="797" spans="1:7">
      <c r="A797" s="3">
        <v>793</v>
      </c>
      <c r="B797" s="3" t="s">
        <v>913</v>
      </c>
      <c r="C797" s="5">
        <v>0</v>
      </c>
      <c r="D797" s="5">
        <v>3.99</v>
      </c>
      <c r="E797" s="6">
        <v>0</v>
      </c>
      <c r="F797" s="6">
        <v>2.41022152259029e-7</v>
      </c>
      <c r="G797" s="3"/>
    </row>
    <row r="798" spans="1:7">
      <c r="A798" s="3">
        <v>794</v>
      </c>
      <c r="B798" s="3" t="s">
        <v>914</v>
      </c>
      <c r="C798" s="5">
        <v>0</v>
      </c>
      <c r="D798" s="5">
        <v>3.79</v>
      </c>
      <c r="E798" s="6">
        <v>0</v>
      </c>
      <c r="F798" s="6">
        <v>2.28940841368852e-7</v>
      </c>
      <c r="G798" s="3"/>
    </row>
    <row r="799" spans="1:7">
      <c r="A799" s="3">
        <v>795</v>
      </c>
      <c r="B799" s="3" t="s">
        <v>915</v>
      </c>
      <c r="C799" s="5">
        <v>0</v>
      </c>
      <c r="D799" s="5">
        <v>3.61</v>
      </c>
      <c r="E799" s="6">
        <v>0</v>
      </c>
      <c r="F799" s="6">
        <v>2.18067661567693e-7</v>
      </c>
      <c r="G799" s="3"/>
    </row>
    <row r="800" spans="1:7">
      <c r="A800" s="3">
        <v>796</v>
      </c>
      <c r="B800" s="3" t="s">
        <v>916</v>
      </c>
      <c r="C800" s="5">
        <v>0</v>
      </c>
      <c r="D800" s="5">
        <v>3.14</v>
      </c>
      <c r="E800" s="6">
        <v>0</v>
      </c>
      <c r="F800" s="6">
        <v>1.89676580975777e-7</v>
      </c>
      <c r="G800" s="3"/>
    </row>
    <row r="801" spans="1:7">
      <c r="A801" s="3">
        <v>797</v>
      </c>
      <c r="B801" s="3" t="s">
        <v>917</v>
      </c>
      <c r="C801" s="5">
        <v>0</v>
      </c>
      <c r="D801" s="5">
        <v>2.47</v>
      </c>
      <c r="E801" s="6">
        <v>0</v>
      </c>
      <c r="F801" s="6">
        <v>1.49204189493685e-7</v>
      </c>
      <c r="G801" s="3"/>
    </row>
    <row r="802" spans="1:7">
      <c r="A802" s="3">
        <v>798</v>
      </c>
      <c r="B802" s="3" t="s">
        <v>918</v>
      </c>
      <c r="C802" s="5">
        <v>160396.9</v>
      </c>
      <c r="D802" s="5">
        <v>0</v>
      </c>
      <c r="E802" s="6">
        <v>0.00828505902700562</v>
      </c>
      <c r="F802" s="6">
        <v>0</v>
      </c>
      <c r="G802" s="8">
        <v>-1</v>
      </c>
    </row>
    <row r="803" spans="1:7">
      <c r="A803" s="3">
        <v>799</v>
      </c>
      <c r="B803" s="3" t="s">
        <v>919</v>
      </c>
      <c r="C803" s="5">
        <v>4161.19</v>
      </c>
      <c r="D803" s="5">
        <v>0</v>
      </c>
      <c r="E803" s="6">
        <v>0.000214939969367148</v>
      </c>
      <c r="F803" s="6">
        <v>0</v>
      </c>
      <c r="G803" s="8">
        <v>-1</v>
      </c>
    </row>
    <row r="804" spans="1:7">
      <c r="A804" s="3">
        <v>800</v>
      </c>
      <c r="B804" s="3" t="s">
        <v>920</v>
      </c>
      <c r="C804" s="5">
        <v>3020.58</v>
      </c>
      <c r="D804" s="5">
        <v>0</v>
      </c>
      <c r="E804" s="6">
        <v>0.000156023486711979</v>
      </c>
      <c r="F804" s="6">
        <v>0</v>
      </c>
      <c r="G804" s="8">
        <v>-1</v>
      </c>
    </row>
    <row r="805" spans="1:7">
      <c r="A805" s="3">
        <v>801</v>
      </c>
      <c r="B805" s="3" t="s">
        <v>921</v>
      </c>
      <c r="C805" s="5">
        <v>2936.64</v>
      </c>
      <c r="D805" s="5">
        <v>0</v>
      </c>
      <c r="E805" s="6">
        <v>0.00015168769309797</v>
      </c>
      <c r="F805" s="6">
        <v>0</v>
      </c>
      <c r="G805" s="8">
        <v>-1</v>
      </c>
    </row>
    <row r="806" spans="1:7">
      <c r="A806" s="3">
        <v>802</v>
      </c>
      <c r="B806" s="3" t="s">
        <v>922</v>
      </c>
      <c r="C806" s="5">
        <v>2697.3</v>
      </c>
      <c r="D806" s="5">
        <v>0</v>
      </c>
      <c r="E806" s="6">
        <v>0.000139324947761099</v>
      </c>
      <c r="F806" s="6">
        <v>0</v>
      </c>
      <c r="G806" s="8">
        <v>-1</v>
      </c>
    </row>
    <row r="807" spans="1:7">
      <c r="A807" s="3">
        <v>803</v>
      </c>
      <c r="B807" s="3" t="s">
        <v>923</v>
      </c>
      <c r="C807" s="5">
        <v>2241.65</v>
      </c>
      <c r="D807" s="5">
        <v>0</v>
      </c>
      <c r="E807" s="6">
        <v>0.00011578903686971</v>
      </c>
      <c r="F807" s="6">
        <v>0</v>
      </c>
      <c r="G807" s="8">
        <v>-1</v>
      </c>
    </row>
    <row r="808" spans="1:7">
      <c r="A808" s="3">
        <v>804</v>
      </c>
      <c r="B808" s="3" t="s">
        <v>924</v>
      </c>
      <c r="C808" s="5">
        <v>1992</v>
      </c>
      <c r="D808" s="5">
        <v>0</v>
      </c>
      <c r="E808" s="6">
        <v>0.000102893744092281</v>
      </c>
      <c r="F808" s="6">
        <v>0</v>
      </c>
      <c r="G808" s="8">
        <v>-1</v>
      </c>
    </row>
    <row r="809" spans="1:7">
      <c r="A809" s="3">
        <v>805</v>
      </c>
      <c r="B809" s="3" t="s">
        <v>925</v>
      </c>
      <c r="C809" s="5">
        <v>1807.79</v>
      </c>
      <c r="D809" s="5">
        <v>0</v>
      </c>
      <c r="E809" s="6">
        <v>9.33786554380446e-5</v>
      </c>
      <c r="F809" s="6">
        <v>0</v>
      </c>
      <c r="G809" s="8">
        <v>-1</v>
      </c>
    </row>
    <row r="810" spans="1:7">
      <c r="A810" s="3">
        <v>806</v>
      </c>
      <c r="B810" s="3" t="s">
        <v>926</v>
      </c>
      <c r="C810" s="5">
        <v>1743.06</v>
      </c>
      <c r="D810" s="5">
        <v>0</v>
      </c>
      <c r="E810" s="6">
        <v>9.00351252899053e-5</v>
      </c>
      <c r="F810" s="6">
        <v>0</v>
      </c>
      <c r="G810" s="8">
        <v>-1</v>
      </c>
    </row>
    <row r="811" spans="1:7">
      <c r="A811" s="3">
        <v>807</v>
      </c>
      <c r="B811" s="3" t="s">
        <v>927</v>
      </c>
      <c r="C811" s="5">
        <v>1693.26</v>
      </c>
      <c r="D811" s="5">
        <v>0</v>
      </c>
      <c r="E811" s="6">
        <v>8.74627816875983e-5</v>
      </c>
      <c r="F811" s="6">
        <v>0</v>
      </c>
      <c r="G811" s="8">
        <v>-1</v>
      </c>
    </row>
    <row r="812" spans="1:7">
      <c r="A812" s="3">
        <v>808</v>
      </c>
      <c r="B812" s="3" t="s">
        <v>928</v>
      </c>
      <c r="C812" s="5">
        <v>1527.02</v>
      </c>
      <c r="D812" s="5">
        <v>0</v>
      </c>
      <c r="E812" s="6">
        <v>7.88759061766039e-5</v>
      </c>
      <c r="F812" s="6">
        <v>0</v>
      </c>
      <c r="G812" s="8">
        <v>-1</v>
      </c>
    </row>
    <row r="813" spans="1:7">
      <c r="A813" s="3">
        <v>809</v>
      </c>
      <c r="B813" s="3" t="s">
        <v>929</v>
      </c>
      <c r="C813" s="5">
        <v>1424.92</v>
      </c>
      <c r="D813" s="5">
        <v>0</v>
      </c>
      <c r="E813" s="6">
        <v>7.36020852570146e-5</v>
      </c>
      <c r="F813" s="6">
        <v>0</v>
      </c>
      <c r="G813" s="8">
        <v>-1</v>
      </c>
    </row>
    <row r="814" spans="1:7">
      <c r="A814" s="3">
        <v>810</v>
      </c>
      <c r="B814" s="3" t="s">
        <v>930</v>
      </c>
      <c r="C814" s="5">
        <v>1164.48</v>
      </c>
      <c r="D814" s="5">
        <v>0</v>
      </c>
      <c r="E814" s="6">
        <v>6.01494513657527e-5</v>
      </c>
      <c r="F814" s="6">
        <v>0</v>
      </c>
      <c r="G814" s="8">
        <v>-1</v>
      </c>
    </row>
    <row r="815" spans="1:7">
      <c r="A815" s="3">
        <v>811</v>
      </c>
      <c r="B815" s="3" t="s">
        <v>931</v>
      </c>
      <c r="C815" s="5">
        <v>999.5</v>
      </c>
      <c r="D815" s="5">
        <v>0</v>
      </c>
      <c r="E815" s="6">
        <v>5.16276592471059e-5</v>
      </c>
      <c r="F815" s="6">
        <v>0</v>
      </c>
      <c r="G815" s="8">
        <v>-1</v>
      </c>
    </row>
    <row r="816" spans="1:7">
      <c r="A816" s="3">
        <v>812</v>
      </c>
      <c r="B816" s="3" t="s">
        <v>932</v>
      </c>
      <c r="C816" s="5">
        <v>987.13</v>
      </c>
      <c r="D816" s="5">
        <v>0</v>
      </c>
      <c r="E816" s="6">
        <v>5.09887056254083e-5</v>
      </c>
      <c r="F816" s="6">
        <v>0</v>
      </c>
      <c r="G816" s="8">
        <v>-1</v>
      </c>
    </row>
    <row r="817" spans="1:7">
      <c r="A817" s="3">
        <v>813</v>
      </c>
      <c r="B817" s="3" t="s">
        <v>933</v>
      </c>
      <c r="C817" s="5">
        <v>937.95</v>
      </c>
      <c r="D817" s="5">
        <v>0</v>
      </c>
      <c r="E817" s="6">
        <v>4.84483871844152e-5</v>
      </c>
      <c r="F817" s="6">
        <v>0</v>
      </c>
      <c r="G817" s="8">
        <v>-1</v>
      </c>
    </row>
    <row r="818" spans="1:7">
      <c r="A818" s="3">
        <v>814</v>
      </c>
      <c r="B818" s="3" t="s">
        <v>934</v>
      </c>
      <c r="C818" s="5">
        <v>828.35</v>
      </c>
      <c r="D818" s="5">
        <v>0</v>
      </c>
      <c r="E818" s="6">
        <v>4.27871651199001e-5</v>
      </c>
      <c r="F818" s="6">
        <v>0</v>
      </c>
      <c r="G818" s="8">
        <v>-1</v>
      </c>
    </row>
    <row r="819" spans="1:7">
      <c r="A819" s="3">
        <v>815</v>
      </c>
      <c r="B819" s="3" t="s">
        <v>935</v>
      </c>
      <c r="C819" s="5">
        <v>764.83</v>
      </c>
      <c r="D819" s="5">
        <v>0</v>
      </c>
      <c r="E819" s="6">
        <v>3.95061356898089e-5</v>
      </c>
      <c r="F819" s="6">
        <v>0</v>
      </c>
      <c r="G819" s="8">
        <v>-1</v>
      </c>
    </row>
    <row r="820" spans="1:7">
      <c r="A820" s="3">
        <v>816</v>
      </c>
      <c r="B820" s="3" t="s">
        <v>936</v>
      </c>
      <c r="C820" s="5">
        <v>760.6</v>
      </c>
      <c r="D820" s="5">
        <v>0</v>
      </c>
      <c r="E820" s="6">
        <v>3.92876414440708e-5</v>
      </c>
      <c r="F820" s="6">
        <v>0</v>
      </c>
      <c r="G820" s="8">
        <v>-1</v>
      </c>
    </row>
    <row r="821" spans="1:7">
      <c r="A821" s="3">
        <v>817</v>
      </c>
      <c r="B821" s="3" t="s">
        <v>937</v>
      </c>
      <c r="C821" s="5">
        <v>749.75</v>
      </c>
      <c r="D821" s="5">
        <v>0</v>
      </c>
      <c r="E821" s="6">
        <v>3.87272011210782e-5</v>
      </c>
      <c r="F821" s="6">
        <v>0</v>
      </c>
      <c r="G821" s="8">
        <v>-1</v>
      </c>
    </row>
    <row r="822" spans="1:7">
      <c r="A822" s="3">
        <v>818</v>
      </c>
      <c r="B822" s="3" t="s">
        <v>938</v>
      </c>
      <c r="C822" s="5">
        <v>728.7</v>
      </c>
      <c r="D822" s="5">
        <v>0</v>
      </c>
      <c r="E822" s="6">
        <v>3.76398952409866e-5</v>
      </c>
      <c r="F822" s="6">
        <v>0</v>
      </c>
      <c r="G822" s="8">
        <v>-1</v>
      </c>
    </row>
    <row r="823" spans="1:7">
      <c r="A823" s="3">
        <v>819</v>
      </c>
      <c r="B823" s="3" t="s">
        <v>939</v>
      </c>
      <c r="C823" s="5">
        <v>720.95</v>
      </c>
      <c r="D823" s="5">
        <v>0</v>
      </c>
      <c r="E823" s="6">
        <v>3.72395807245633e-5</v>
      </c>
      <c r="F823" s="6">
        <v>0</v>
      </c>
      <c r="G823" s="8">
        <v>-1</v>
      </c>
    </row>
    <row r="824" spans="1:7">
      <c r="A824" s="3">
        <v>820</v>
      </c>
      <c r="B824" s="3" t="s">
        <v>940</v>
      </c>
      <c r="C824" s="5">
        <v>719.04</v>
      </c>
      <c r="D824" s="5">
        <v>0</v>
      </c>
      <c r="E824" s="6">
        <v>3.71409225663222e-5</v>
      </c>
      <c r="F824" s="6">
        <v>0</v>
      </c>
      <c r="G824" s="8">
        <v>-1</v>
      </c>
    </row>
    <row r="825" spans="1:7">
      <c r="A825" s="3">
        <v>821</v>
      </c>
      <c r="B825" s="3" t="s">
        <v>941</v>
      </c>
      <c r="C825" s="5">
        <v>717.35</v>
      </c>
      <c r="D825" s="5">
        <v>0</v>
      </c>
      <c r="E825" s="6">
        <v>3.70536281749989e-5</v>
      </c>
      <c r="F825" s="6">
        <v>0</v>
      </c>
      <c r="G825" s="8">
        <v>-1</v>
      </c>
    </row>
    <row r="826" spans="1:7">
      <c r="A826" s="3">
        <v>822</v>
      </c>
      <c r="B826" s="3" t="s">
        <v>942</v>
      </c>
      <c r="C826" s="5">
        <v>664.68</v>
      </c>
      <c r="D826" s="5">
        <v>0</v>
      </c>
      <c r="E826" s="6">
        <v>3.43330390679003e-5</v>
      </c>
      <c r="F826" s="6">
        <v>0</v>
      </c>
      <c r="G826" s="8">
        <v>-1</v>
      </c>
    </row>
    <row r="827" spans="1:7">
      <c r="A827" s="3">
        <v>823</v>
      </c>
      <c r="B827" s="3" t="s">
        <v>943</v>
      </c>
      <c r="C827" s="5">
        <v>655.87</v>
      </c>
      <c r="D827" s="5">
        <v>0</v>
      </c>
      <c r="E827" s="6">
        <v>3.38779718563275e-5</v>
      </c>
      <c r="F827" s="6">
        <v>0</v>
      </c>
      <c r="G827" s="8">
        <v>-1</v>
      </c>
    </row>
    <row r="828" spans="1:7">
      <c r="A828" s="3">
        <v>824</v>
      </c>
      <c r="B828" s="3" t="s">
        <v>944</v>
      </c>
      <c r="C828" s="5">
        <v>641.25</v>
      </c>
      <c r="D828" s="5">
        <v>0</v>
      </c>
      <c r="E828" s="6">
        <v>3.31227978911522e-5</v>
      </c>
      <c r="F828" s="6">
        <v>0</v>
      </c>
      <c r="G828" s="8">
        <v>-1</v>
      </c>
    </row>
    <row r="829" spans="1:7">
      <c r="A829" s="3">
        <v>825</v>
      </c>
      <c r="B829" s="3" t="s">
        <v>945</v>
      </c>
      <c r="C829" s="5">
        <v>618.74</v>
      </c>
      <c r="D829" s="5">
        <v>0</v>
      </c>
      <c r="E829" s="6">
        <v>3.19600779215151e-5</v>
      </c>
      <c r="F829" s="6">
        <v>0</v>
      </c>
      <c r="G829" s="8">
        <v>-1</v>
      </c>
    </row>
    <row r="830" spans="1:7">
      <c r="A830" s="3">
        <v>826</v>
      </c>
      <c r="B830" s="3" t="s">
        <v>946</v>
      </c>
      <c r="C830" s="5">
        <v>614.25</v>
      </c>
      <c r="D830" s="5">
        <v>0</v>
      </c>
      <c r="E830" s="6">
        <v>3.17281537694195e-5</v>
      </c>
      <c r="F830" s="6">
        <v>0</v>
      </c>
      <c r="G830" s="8">
        <v>-1</v>
      </c>
    </row>
    <row r="831" spans="1:7">
      <c r="A831" s="3">
        <v>827</v>
      </c>
      <c r="B831" s="3" t="s">
        <v>947</v>
      </c>
      <c r="C831" s="5">
        <v>606.33</v>
      </c>
      <c r="D831" s="5">
        <v>0</v>
      </c>
      <c r="E831" s="6">
        <v>3.13190581603779e-5</v>
      </c>
      <c r="F831" s="6">
        <v>0</v>
      </c>
      <c r="G831" s="8">
        <v>-1</v>
      </c>
    </row>
    <row r="832" spans="1:7">
      <c r="A832" s="3">
        <v>828</v>
      </c>
      <c r="B832" s="3" t="s">
        <v>948</v>
      </c>
      <c r="C832" s="5">
        <v>594</v>
      </c>
      <c r="D832" s="5">
        <v>0</v>
      </c>
      <c r="E832" s="6">
        <v>3.06821706781199e-5</v>
      </c>
      <c r="F832" s="6">
        <v>0</v>
      </c>
      <c r="G832" s="8">
        <v>-1</v>
      </c>
    </row>
    <row r="833" spans="1:7">
      <c r="A833" s="3">
        <v>829</v>
      </c>
      <c r="B833" s="3" t="s">
        <v>949</v>
      </c>
      <c r="C833" s="5">
        <v>556.22</v>
      </c>
      <c r="D833" s="5">
        <v>0</v>
      </c>
      <c r="E833" s="6">
        <v>2.87307019774139e-5</v>
      </c>
      <c r="F833" s="6">
        <v>0</v>
      </c>
      <c r="G833" s="8">
        <v>-1</v>
      </c>
    </row>
    <row r="834" spans="1:7">
      <c r="A834" s="3">
        <v>830</v>
      </c>
      <c r="B834" s="3" t="s">
        <v>950</v>
      </c>
      <c r="C834" s="5">
        <v>519.74</v>
      </c>
      <c r="D834" s="5">
        <v>0</v>
      </c>
      <c r="E834" s="6">
        <v>2.68463828084951e-5</v>
      </c>
      <c r="F834" s="6">
        <v>0</v>
      </c>
      <c r="G834" s="8">
        <v>-1</v>
      </c>
    </row>
    <row r="835" spans="1:7">
      <c r="A835" s="3">
        <v>831</v>
      </c>
      <c r="B835" s="3" t="s">
        <v>951</v>
      </c>
      <c r="C835" s="5">
        <v>503.92</v>
      </c>
      <c r="D835" s="5">
        <v>0</v>
      </c>
      <c r="E835" s="6">
        <v>2.60292246601317e-5</v>
      </c>
      <c r="F835" s="6">
        <v>0</v>
      </c>
      <c r="G835" s="8">
        <v>-1</v>
      </c>
    </row>
    <row r="836" spans="1:7">
      <c r="A836" s="3">
        <v>832</v>
      </c>
      <c r="B836" s="3" t="s">
        <v>952</v>
      </c>
      <c r="C836" s="5">
        <v>488.43</v>
      </c>
      <c r="D836" s="5">
        <v>0</v>
      </c>
      <c r="E836" s="6">
        <v>2.5229112162145e-5</v>
      </c>
      <c r="F836" s="6">
        <v>0</v>
      </c>
      <c r="G836" s="8">
        <v>-1</v>
      </c>
    </row>
    <row r="837" spans="1:7">
      <c r="A837" s="3">
        <v>833</v>
      </c>
      <c r="B837" s="3" t="s">
        <v>953</v>
      </c>
      <c r="C837" s="5">
        <v>485.64</v>
      </c>
      <c r="D837" s="5">
        <v>0</v>
      </c>
      <c r="E837" s="6">
        <v>2.50849989362326e-5</v>
      </c>
      <c r="F837" s="6">
        <v>0</v>
      </c>
      <c r="G837" s="8">
        <v>-1</v>
      </c>
    </row>
    <row r="838" spans="1:7">
      <c r="A838" s="3">
        <v>834</v>
      </c>
      <c r="B838" s="3" t="s">
        <v>954</v>
      </c>
      <c r="C838" s="5">
        <v>452.16</v>
      </c>
      <c r="D838" s="5">
        <v>0</v>
      </c>
      <c r="E838" s="6">
        <v>2.3355640225284e-5</v>
      </c>
      <c r="F838" s="6">
        <v>0</v>
      </c>
      <c r="G838" s="8">
        <v>-1</v>
      </c>
    </row>
    <row r="839" spans="1:7">
      <c r="A839" s="3">
        <v>835</v>
      </c>
      <c r="B839" s="3" t="s">
        <v>955</v>
      </c>
      <c r="C839" s="5">
        <v>448.96</v>
      </c>
      <c r="D839" s="5">
        <v>0</v>
      </c>
      <c r="E839" s="6">
        <v>2.31903490701157e-5</v>
      </c>
      <c r="F839" s="6">
        <v>0</v>
      </c>
      <c r="G839" s="8">
        <v>-1</v>
      </c>
    </row>
    <row r="840" spans="1:7">
      <c r="A840" s="3">
        <v>836</v>
      </c>
      <c r="B840" s="3" t="s">
        <v>956</v>
      </c>
      <c r="C840" s="5">
        <v>447.72</v>
      </c>
      <c r="D840" s="5">
        <v>0</v>
      </c>
      <c r="E840" s="6">
        <v>2.3126298747488e-5</v>
      </c>
      <c r="F840" s="6">
        <v>0</v>
      </c>
      <c r="G840" s="8">
        <v>-1</v>
      </c>
    </row>
    <row r="841" spans="1:7">
      <c r="A841" s="3">
        <v>837</v>
      </c>
      <c r="B841" s="3" t="s">
        <v>957</v>
      </c>
      <c r="C841" s="5">
        <v>442.34</v>
      </c>
      <c r="D841" s="5">
        <v>0</v>
      </c>
      <c r="E841" s="6">
        <v>2.28484029928612e-5</v>
      </c>
      <c r="F841" s="6">
        <v>0</v>
      </c>
      <c r="G841" s="8">
        <v>-1</v>
      </c>
    </row>
    <row r="842" spans="1:7">
      <c r="A842" s="3">
        <v>838</v>
      </c>
      <c r="B842" s="3" t="s">
        <v>958</v>
      </c>
      <c r="C842" s="5">
        <v>416.83</v>
      </c>
      <c r="D842" s="5">
        <v>0</v>
      </c>
      <c r="E842" s="6">
        <v>2.15307225652538e-5</v>
      </c>
      <c r="F842" s="6">
        <v>0</v>
      </c>
      <c r="G842" s="8">
        <v>-1</v>
      </c>
    </row>
    <row r="843" spans="1:7">
      <c r="A843" s="3">
        <v>839</v>
      </c>
      <c r="B843" s="3" t="s">
        <v>959</v>
      </c>
      <c r="C843" s="5">
        <v>413</v>
      </c>
      <c r="D843" s="5">
        <v>0</v>
      </c>
      <c r="E843" s="6">
        <v>2.13328897139117e-5</v>
      </c>
      <c r="F843" s="6">
        <v>0</v>
      </c>
      <c r="G843" s="8">
        <v>-1</v>
      </c>
    </row>
    <row r="844" spans="1:7">
      <c r="A844" s="3">
        <v>840</v>
      </c>
      <c r="B844" s="3" t="s">
        <v>960</v>
      </c>
      <c r="C844" s="5">
        <v>396.44</v>
      </c>
      <c r="D844" s="5">
        <v>0</v>
      </c>
      <c r="E844" s="6">
        <v>2.04775079859156e-5</v>
      </c>
      <c r="F844" s="6">
        <v>0</v>
      </c>
      <c r="G844" s="8">
        <v>-1</v>
      </c>
    </row>
    <row r="845" spans="1:7">
      <c r="A845" s="3">
        <v>841</v>
      </c>
      <c r="B845" s="3" t="s">
        <v>961</v>
      </c>
      <c r="C845" s="5">
        <v>385.84</v>
      </c>
      <c r="D845" s="5">
        <v>0</v>
      </c>
      <c r="E845" s="6">
        <v>1.99299810344205e-5</v>
      </c>
      <c r="F845" s="6">
        <v>0</v>
      </c>
      <c r="G845" s="8">
        <v>-1</v>
      </c>
    </row>
    <row r="846" spans="1:7">
      <c r="A846" s="3">
        <v>842</v>
      </c>
      <c r="B846" s="3" t="s">
        <v>962</v>
      </c>
      <c r="C846" s="5">
        <v>381.19</v>
      </c>
      <c r="D846" s="5">
        <v>0</v>
      </c>
      <c r="E846" s="6">
        <v>1.96897923245666e-5</v>
      </c>
      <c r="F846" s="6">
        <v>0</v>
      </c>
      <c r="G846" s="8">
        <v>-1</v>
      </c>
    </row>
    <row r="847" spans="1:7">
      <c r="A847" s="3">
        <v>843</v>
      </c>
      <c r="B847" s="3" t="s">
        <v>963</v>
      </c>
      <c r="C847" s="5">
        <v>375.29</v>
      </c>
      <c r="D847" s="5">
        <v>0</v>
      </c>
      <c r="E847" s="6">
        <v>1.9385036757225e-5</v>
      </c>
      <c r="F847" s="6">
        <v>0</v>
      </c>
      <c r="G847" s="8">
        <v>-1</v>
      </c>
    </row>
    <row r="848" spans="1:7">
      <c r="A848" s="3">
        <v>844</v>
      </c>
      <c r="B848" s="3" t="s">
        <v>964</v>
      </c>
      <c r="C848" s="5">
        <v>372.49</v>
      </c>
      <c r="D848" s="5">
        <v>0</v>
      </c>
      <c r="E848" s="6">
        <v>1.92404069964527e-5</v>
      </c>
      <c r="F848" s="6">
        <v>0</v>
      </c>
      <c r="G848" s="8">
        <v>-1</v>
      </c>
    </row>
    <row r="849" spans="1:7">
      <c r="A849" s="3">
        <v>845</v>
      </c>
      <c r="B849" s="3" t="s">
        <v>965</v>
      </c>
      <c r="C849" s="5">
        <v>352.04</v>
      </c>
      <c r="D849" s="5">
        <v>0</v>
      </c>
      <c r="E849" s="6">
        <v>1.81840932079551e-5</v>
      </c>
      <c r="F849" s="6">
        <v>0</v>
      </c>
      <c r="G849" s="8">
        <v>-1</v>
      </c>
    </row>
    <row r="850" spans="1:7">
      <c r="A850" s="3">
        <v>846</v>
      </c>
      <c r="B850" s="3" t="s">
        <v>966</v>
      </c>
      <c r="C850" s="5">
        <v>339.94</v>
      </c>
      <c r="D850" s="5">
        <v>0</v>
      </c>
      <c r="E850" s="6">
        <v>1.75590860274749e-5</v>
      </c>
      <c r="F850" s="6">
        <v>0</v>
      </c>
      <c r="G850" s="8">
        <v>-1</v>
      </c>
    </row>
    <row r="851" spans="1:7">
      <c r="A851" s="3">
        <v>847</v>
      </c>
      <c r="B851" s="3" t="s">
        <v>967</v>
      </c>
      <c r="C851" s="5">
        <v>335.96</v>
      </c>
      <c r="D851" s="5">
        <v>0</v>
      </c>
      <c r="E851" s="6">
        <v>1.73535051532343e-5</v>
      </c>
      <c r="F851" s="6">
        <v>0</v>
      </c>
      <c r="G851" s="8">
        <v>-1</v>
      </c>
    </row>
    <row r="852" spans="1:7">
      <c r="A852" s="3">
        <v>848</v>
      </c>
      <c r="B852" s="3" t="s">
        <v>968</v>
      </c>
      <c r="C852" s="5">
        <v>335.86</v>
      </c>
      <c r="D852" s="5">
        <v>0</v>
      </c>
      <c r="E852" s="6">
        <v>1.73483398046353e-5</v>
      </c>
      <c r="F852" s="6">
        <v>0</v>
      </c>
      <c r="G852" s="8">
        <v>-1</v>
      </c>
    </row>
    <row r="853" spans="1:7">
      <c r="A853" s="3">
        <v>849</v>
      </c>
      <c r="B853" s="3" t="s">
        <v>969</v>
      </c>
      <c r="C853" s="5">
        <v>332.49</v>
      </c>
      <c r="D853" s="5">
        <v>0</v>
      </c>
      <c r="E853" s="6">
        <v>1.71742675568487e-5</v>
      </c>
      <c r="F853" s="6">
        <v>0</v>
      </c>
      <c r="G853" s="8">
        <v>-1</v>
      </c>
    </row>
    <row r="854" spans="1:7">
      <c r="A854" s="3">
        <v>850</v>
      </c>
      <c r="B854" s="3" t="s">
        <v>970</v>
      </c>
      <c r="C854" s="5">
        <v>332.43</v>
      </c>
      <c r="D854" s="5">
        <v>0</v>
      </c>
      <c r="E854" s="6">
        <v>1.71711683476892e-5</v>
      </c>
      <c r="F854" s="6">
        <v>0</v>
      </c>
      <c r="G854" s="8">
        <v>-1</v>
      </c>
    </row>
    <row r="855" spans="1:7">
      <c r="A855" s="3">
        <v>851</v>
      </c>
      <c r="B855" s="3" t="s">
        <v>971</v>
      </c>
      <c r="C855" s="5">
        <v>321.4</v>
      </c>
      <c r="D855" s="5">
        <v>0</v>
      </c>
      <c r="E855" s="6">
        <v>1.66014303972184e-5</v>
      </c>
      <c r="F855" s="6">
        <v>0</v>
      </c>
      <c r="G855" s="8">
        <v>-1</v>
      </c>
    </row>
    <row r="856" spans="1:7">
      <c r="A856" s="3">
        <v>852</v>
      </c>
      <c r="B856" s="3" t="s">
        <v>972</v>
      </c>
      <c r="C856" s="5">
        <v>312.24</v>
      </c>
      <c r="D856" s="5">
        <v>0</v>
      </c>
      <c r="E856" s="6">
        <v>1.61282844655491e-5</v>
      </c>
      <c r="F856" s="6">
        <v>0</v>
      </c>
      <c r="G856" s="8">
        <v>-1</v>
      </c>
    </row>
    <row r="857" spans="1:7">
      <c r="A857" s="3">
        <v>853</v>
      </c>
      <c r="B857" s="3" t="s">
        <v>973</v>
      </c>
      <c r="C857" s="5">
        <v>299.85</v>
      </c>
      <c r="D857" s="5">
        <v>0</v>
      </c>
      <c r="E857" s="6">
        <v>1.54882977741318e-5</v>
      </c>
      <c r="F857" s="6">
        <v>0</v>
      </c>
      <c r="G857" s="8">
        <v>-1</v>
      </c>
    </row>
    <row r="858" spans="1:7">
      <c r="A858" s="3">
        <v>854</v>
      </c>
      <c r="B858" s="3" t="s">
        <v>974</v>
      </c>
      <c r="C858" s="5">
        <v>292.95</v>
      </c>
      <c r="D858" s="5">
        <v>0</v>
      </c>
      <c r="E858" s="6">
        <v>1.51318887208001e-5</v>
      </c>
      <c r="F858" s="6">
        <v>0</v>
      </c>
      <c r="G858" s="8">
        <v>-1</v>
      </c>
    </row>
    <row r="859" spans="1:7">
      <c r="A859" s="3">
        <v>855</v>
      </c>
      <c r="B859" s="3" t="s">
        <v>975</v>
      </c>
      <c r="C859" s="5">
        <v>290.94</v>
      </c>
      <c r="D859" s="5">
        <v>0</v>
      </c>
      <c r="E859" s="6">
        <v>1.502806521396e-5</v>
      </c>
      <c r="F859" s="6">
        <v>0</v>
      </c>
      <c r="G859" s="8">
        <v>-1</v>
      </c>
    </row>
    <row r="860" spans="1:7">
      <c r="A860" s="3">
        <v>856</v>
      </c>
      <c r="B860" s="3" t="s">
        <v>976</v>
      </c>
      <c r="C860" s="5">
        <v>284.85</v>
      </c>
      <c r="D860" s="5">
        <v>0</v>
      </c>
      <c r="E860" s="6">
        <v>1.47134954842802e-5</v>
      </c>
      <c r="F860" s="6">
        <v>0</v>
      </c>
      <c r="G860" s="8">
        <v>-1</v>
      </c>
    </row>
    <row r="861" spans="1:7">
      <c r="A861" s="3">
        <v>857</v>
      </c>
      <c r="B861" s="3" t="s">
        <v>977</v>
      </c>
      <c r="C861" s="5">
        <v>280.93</v>
      </c>
      <c r="D861" s="5">
        <v>0</v>
      </c>
      <c r="E861" s="6">
        <v>1.4511013819199e-5</v>
      </c>
      <c r="F861" s="6">
        <v>0</v>
      </c>
      <c r="G861" s="8">
        <v>-1</v>
      </c>
    </row>
    <row r="862" spans="1:7">
      <c r="A862" s="3">
        <v>858</v>
      </c>
      <c r="B862" s="3" t="s">
        <v>978</v>
      </c>
      <c r="C862" s="5">
        <v>279.92</v>
      </c>
      <c r="D862" s="5">
        <v>0</v>
      </c>
      <c r="E862" s="6">
        <v>1.4458843798349e-5</v>
      </c>
      <c r="F862" s="6">
        <v>0</v>
      </c>
      <c r="G862" s="8">
        <v>-1</v>
      </c>
    </row>
    <row r="863" spans="1:7">
      <c r="A863" s="3">
        <v>859</v>
      </c>
      <c r="B863" s="3" t="s">
        <v>979</v>
      </c>
      <c r="C863" s="5">
        <v>273.75</v>
      </c>
      <c r="D863" s="5">
        <v>0</v>
      </c>
      <c r="E863" s="6">
        <v>1.41401417897901e-5</v>
      </c>
      <c r="F863" s="6">
        <v>0</v>
      </c>
      <c r="G863" s="8">
        <v>-1</v>
      </c>
    </row>
    <row r="864" spans="1:7">
      <c r="A864" s="3">
        <v>860</v>
      </c>
      <c r="B864" s="3" t="s">
        <v>980</v>
      </c>
      <c r="C864" s="5">
        <v>273.7</v>
      </c>
      <c r="D864" s="5">
        <v>0</v>
      </c>
      <c r="E864" s="6">
        <v>1.41375591154906e-5</v>
      </c>
      <c r="F864" s="6">
        <v>0</v>
      </c>
      <c r="G864" s="8">
        <v>-1</v>
      </c>
    </row>
    <row r="865" spans="1:7">
      <c r="A865" s="3">
        <v>861</v>
      </c>
      <c r="B865" s="3" t="s">
        <v>981</v>
      </c>
      <c r="C865" s="5">
        <v>261.68</v>
      </c>
      <c r="D865" s="5">
        <v>0</v>
      </c>
      <c r="E865" s="6">
        <v>1.35166842138896e-5</v>
      </c>
      <c r="F865" s="6">
        <v>0</v>
      </c>
      <c r="G865" s="8">
        <v>-1</v>
      </c>
    </row>
    <row r="866" spans="1:7">
      <c r="A866" s="3">
        <v>862</v>
      </c>
      <c r="B866" s="3" t="s">
        <v>982</v>
      </c>
      <c r="C866" s="5">
        <v>254.83</v>
      </c>
      <c r="D866" s="5">
        <v>0</v>
      </c>
      <c r="E866" s="6">
        <v>1.31628578348574e-5</v>
      </c>
      <c r="F866" s="6">
        <v>0</v>
      </c>
      <c r="G866" s="8">
        <v>-1</v>
      </c>
    </row>
    <row r="867" spans="1:7">
      <c r="A867" s="3">
        <v>863</v>
      </c>
      <c r="B867" s="3" t="s">
        <v>983</v>
      </c>
      <c r="C867" s="5">
        <v>251.25</v>
      </c>
      <c r="D867" s="5">
        <v>0</v>
      </c>
      <c r="E867" s="6">
        <v>1.29779383550129e-5</v>
      </c>
      <c r="F867" s="6">
        <v>0</v>
      </c>
      <c r="G867" s="8">
        <v>-1</v>
      </c>
    </row>
    <row r="868" spans="1:7">
      <c r="A868" s="3">
        <v>864</v>
      </c>
      <c r="B868" s="3" t="s">
        <v>984</v>
      </c>
      <c r="C868" s="5">
        <v>243.16</v>
      </c>
      <c r="D868" s="5">
        <v>0</v>
      </c>
      <c r="E868" s="6">
        <v>1.25600616533529e-5</v>
      </c>
      <c r="F868" s="6">
        <v>0</v>
      </c>
      <c r="G868" s="8">
        <v>-1</v>
      </c>
    </row>
    <row r="869" spans="1:7">
      <c r="A869" s="3">
        <v>865</v>
      </c>
      <c r="B869" s="3" t="s">
        <v>985</v>
      </c>
      <c r="C869" s="5">
        <v>239.64</v>
      </c>
      <c r="D869" s="5">
        <v>0</v>
      </c>
      <c r="E869" s="6">
        <v>1.23782413826678e-5</v>
      </c>
      <c r="F869" s="6">
        <v>0</v>
      </c>
      <c r="G869" s="8">
        <v>-1</v>
      </c>
    </row>
    <row r="870" spans="1:7">
      <c r="A870" s="3">
        <v>866</v>
      </c>
      <c r="B870" s="3" t="s">
        <v>986</v>
      </c>
      <c r="C870" s="5">
        <v>231.88</v>
      </c>
      <c r="D870" s="5">
        <v>0</v>
      </c>
      <c r="E870" s="6">
        <v>1.19774103313846e-5</v>
      </c>
      <c r="F870" s="6">
        <v>0</v>
      </c>
      <c r="G870" s="8">
        <v>-1</v>
      </c>
    </row>
    <row r="871" spans="1:7">
      <c r="A871" s="3">
        <v>867</v>
      </c>
      <c r="B871" s="3" t="s">
        <v>987</v>
      </c>
      <c r="C871" s="5">
        <v>229.96</v>
      </c>
      <c r="D871" s="5">
        <v>0</v>
      </c>
      <c r="E871" s="6">
        <v>1.18782356382836e-5</v>
      </c>
      <c r="F871" s="6">
        <v>0</v>
      </c>
      <c r="G871" s="8">
        <v>-1</v>
      </c>
    </row>
    <row r="872" spans="1:7">
      <c r="A872" s="3">
        <v>868</v>
      </c>
      <c r="B872" s="3" t="s">
        <v>988</v>
      </c>
      <c r="C872" s="5">
        <v>227.94</v>
      </c>
      <c r="D872" s="5">
        <v>0</v>
      </c>
      <c r="E872" s="6">
        <v>1.17738955965836e-5</v>
      </c>
      <c r="F872" s="6">
        <v>0</v>
      </c>
      <c r="G872" s="8">
        <v>-1</v>
      </c>
    </row>
    <row r="873" spans="1:7">
      <c r="A873" s="3">
        <v>869</v>
      </c>
      <c r="B873" s="3" t="s">
        <v>989</v>
      </c>
      <c r="C873" s="5">
        <v>224.95</v>
      </c>
      <c r="D873" s="5">
        <v>0</v>
      </c>
      <c r="E873" s="6">
        <v>1.16194516734732e-5</v>
      </c>
      <c r="F873" s="6">
        <v>0</v>
      </c>
      <c r="G873" s="8">
        <v>-1</v>
      </c>
    </row>
    <row r="874" spans="1:7">
      <c r="A874" s="3">
        <v>870</v>
      </c>
      <c r="B874" s="3" t="s">
        <v>990</v>
      </c>
      <c r="C874" s="5">
        <v>215.82</v>
      </c>
      <c r="D874" s="5">
        <v>0</v>
      </c>
      <c r="E874" s="6">
        <v>1.11478553463836e-5</v>
      </c>
      <c r="F874" s="6">
        <v>0</v>
      </c>
      <c r="G874" s="8">
        <v>-1</v>
      </c>
    </row>
    <row r="875" spans="1:7">
      <c r="A875" s="3">
        <v>871</v>
      </c>
      <c r="B875" s="3" t="s">
        <v>991</v>
      </c>
      <c r="C875" s="5">
        <v>212.5</v>
      </c>
      <c r="D875" s="5">
        <v>0</v>
      </c>
      <c r="E875" s="6">
        <v>1.09763657728964e-5</v>
      </c>
      <c r="F875" s="6">
        <v>0</v>
      </c>
      <c r="G875" s="8">
        <v>-1</v>
      </c>
    </row>
    <row r="876" spans="1:7">
      <c r="A876" s="3">
        <v>872</v>
      </c>
      <c r="B876" s="3" t="s">
        <v>992</v>
      </c>
      <c r="C876" s="5">
        <v>210.81</v>
      </c>
      <c r="D876" s="5">
        <v>0</v>
      </c>
      <c r="E876" s="6">
        <v>1.08890713815732e-5</v>
      </c>
      <c r="F876" s="6">
        <v>0</v>
      </c>
      <c r="G876" s="8">
        <v>-1</v>
      </c>
    </row>
    <row r="877" spans="1:7">
      <c r="A877" s="3">
        <v>873</v>
      </c>
      <c r="B877" s="3" t="s">
        <v>993</v>
      </c>
      <c r="C877" s="5">
        <v>205.45</v>
      </c>
      <c r="D877" s="5">
        <v>0</v>
      </c>
      <c r="E877" s="6">
        <v>1.06122086966662e-5</v>
      </c>
      <c r="F877" s="6">
        <v>0</v>
      </c>
      <c r="G877" s="8">
        <v>-1</v>
      </c>
    </row>
    <row r="878" spans="1:7">
      <c r="A878" s="3">
        <v>874</v>
      </c>
      <c r="B878" s="3" t="s">
        <v>994</v>
      </c>
      <c r="C878" s="5">
        <v>199.9</v>
      </c>
      <c r="D878" s="5">
        <v>0</v>
      </c>
      <c r="E878" s="6">
        <v>1.03255318494212e-5</v>
      </c>
      <c r="F878" s="6">
        <v>0</v>
      </c>
      <c r="G878" s="8">
        <v>-1</v>
      </c>
    </row>
    <row r="879" spans="1:7">
      <c r="A879" s="3">
        <v>875</v>
      </c>
      <c r="B879" s="3" t="s">
        <v>995</v>
      </c>
      <c r="C879" s="5">
        <v>199.16</v>
      </c>
      <c r="D879" s="5">
        <v>0</v>
      </c>
      <c r="E879" s="6">
        <v>1.02873082697885e-5</v>
      </c>
      <c r="F879" s="6">
        <v>0</v>
      </c>
      <c r="G879" s="8">
        <v>-1</v>
      </c>
    </row>
    <row r="880" spans="1:7">
      <c r="A880" s="3">
        <v>876</v>
      </c>
      <c r="B880" s="3" t="s">
        <v>996</v>
      </c>
      <c r="C880" s="5">
        <v>199</v>
      </c>
      <c r="D880" s="5">
        <v>0</v>
      </c>
      <c r="E880" s="6">
        <v>1.02790437120301e-5</v>
      </c>
      <c r="F880" s="6">
        <v>0</v>
      </c>
      <c r="G880" s="8">
        <v>-1</v>
      </c>
    </row>
    <row r="881" spans="1:7">
      <c r="A881" s="3">
        <v>877</v>
      </c>
      <c r="B881" s="3" t="s">
        <v>997</v>
      </c>
      <c r="C881" s="5">
        <v>199</v>
      </c>
      <c r="D881" s="5">
        <v>0</v>
      </c>
      <c r="E881" s="6">
        <v>1.02790437120301e-5</v>
      </c>
      <c r="F881" s="6">
        <v>0</v>
      </c>
      <c r="G881" s="8">
        <v>-1</v>
      </c>
    </row>
    <row r="882" spans="1:7">
      <c r="A882" s="3">
        <v>878</v>
      </c>
      <c r="B882" s="3" t="s">
        <v>998</v>
      </c>
      <c r="C882" s="5">
        <v>198.07</v>
      </c>
      <c r="D882" s="5">
        <v>0</v>
      </c>
      <c r="E882" s="6">
        <v>1.02310059700593e-5</v>
      </c>
      <c r="F882" s="6">
        <v>0</v>
      </c>
      <c r="G882" s="8">
        <v>-1</v>
      </c>
    </row>
    <row r="883" spans="1:7">
      <c r="A883" s="3">
        <v>879</v>
      </c>
      <c r="B883" s="3" t="s">
        <v>999</v>
      </c>
      <c r="C883" s="5">
        <v>197.94</v>
      </c>
      <c r="D883" s="5">
        <v>0</v>
      </c>
      <c r="E883" s="6">
        <v>1.02242910168806e-5</v>
      </c>
      <c r="F883" s="6">
        <v>0</v>
      </c>
      <c r="G883" s="8">
        <v>-1</v>
      </c>
    </row>
    <row r="884" spans="1:7">
      <c r="A884" s="3">
        <v>880</v>
      </c>
      <c r="B884" s="3" t="s">
        <v>1000</v>
      </c>
      <c r="C884" s="5">
        <v>196.02</v>
      </c>
      <c r="D884" s="5">
        <v>0</v>
      </c>
      <c r="E884" s="6">
        <v>1.01251163237796e-5</v>
      </c>
      <c r="F884" s="6">
        <v>0</v>
      </c>
      <c r="G884" s="8">
        <v>-1</v>
      </c>
    </row>
    <row r="885" spans="1:7">
      <c r="A885" s="3">
        <v>881</v>
      </c>
      <c r="B885" s="3" t="s">
        <v>1001</v>
      </c>
      <c r="C885" s="5">
        <v>186.33</v>
      </c>
      <c r="D885" s="5">
        <v>0</v>
      </c>
      <c r="E885" s="6">
        <v>9.62459404453551e-6</v>
      </c>
      <c r="F885" s="6">
        <v>0</v>
      </c>
      <c r="G885" s="8">
        <v>-1</v>
      </c>
    </row>
    <row r="886" spans="1:7">
      <c r="A886" s="3">
        <v>882</v>
      </c>
      <c r="B886" s="3" t="s">
        <v>1002</v>
      </c>
      <c r="C886" s="5">
        <v>186.24</v>
      </c>
      <c r="D886" s="5">
        <v>0</v>
      </c>
      <c r="E886" s="6">
        <v>9.6199452307964e-6</v>
      </c>
      <c r="F886" s="6">
        <v>0</v>
      </c>
      <c r="G886" s="8">
        <v>-1</v>
      </c>
    </row>
    <row r="887" spans="1:7">
      <c r="A887" s="3">
        <v>883</v>
      </c>
      <c r="B887" s="3" t="s">
        <v>1003</v>
      </c>
      <c r="C887" s="5">
        <v>185.01</v>
      </c>
      <c r="D887" s="5">
        <v>0</v>
      </c>
      <c r="E887" s="6">
        <v>9.55641144302857e-6</v>
      </c>
      <c r="F887" s="6">
        <v>0</v>
      </c>
      <c r="G887" s="8">
        <v>-1</v>
      </c>
    </row>
    <row r="888" spans="1:7">
      <c r="A888" s="3">
        <v>884</v>
      </c>
      <c r="B888" s="3" t="s">
        <v>1004</v>
      </c>
      <c r="C888" s="5">
        <v>180.72</v>
      </c>
      <c r="D888" s="5">
        <v>0</v>
      </c>
      <c r="E888" s="6">
        <v>9.33481798813104e-6</v>
      </c>
      <c r="F888" s="6">
        <v>0</v>
      </c>
      <c r="G888" s="8">
        <v>-1</v>
      </c>
    </row>
    <row r="889" spans="1:7">
      <c r="A889" s="3">
        <v>885</v>
      </c>
      <c r="B889" s="3" t="s">
        <v>1005</v>
      </c>
      <c r="C889" s="5">
        <v>179.97</v>
      </c>
      <c r="D889" s="5">
        <v>0</v>
      </c>
      <c r="E889" s="6">
        <v>9.29607787363846e-6</v>
      </c>
      <c r="F889" s="6">
        <v>0</v>
      </c>
      <c r="G889" s="8">
        <v>-1</v>
      </c>
    </row>
    <row r="890" spans="1:7">
      <c r="A890" s="3">
        <v>886</v>
      </c>
      <c r="B890" s="3" t="s">
        <v>1006</v>
      </c>
      <c r="C890" s="5">
        <v>176.54</v>
      </c>
      <c r="D890" s="5">
        <v>0</v>
      </c>
      <c r="E890" s="6">
        <v>9.11890641669242e-6</v>
      </c>
      <c r="F890" s="6">
        <v>0</v>
      </c>
      <c r="G890" s="8">
        <v>-1</v>
      </c>
    </row>
    <row r="891" spans="1:7">
      <c r="A891" s="3">
        <v>887</v>
      </c>
      <c r="B891" s="3" t="s">
        <v>1007</v>
      </c>
      <c r="C891" s="5">
        <v>174.48</v>
      </c>
      <c r="D891" s="5">
        <v>0</v>
      </c>
      <c r="E891" s="6">
        <v>9.01250023555281e-6</v>
      </c>
      <c r="F891" s="6">
        <v>0</v>
      </c>
      <c r="G891" s="8">
        <v>-1</v>
      </c>
    </row>
    <row r="892" spans="1:7">
      <c r="A892" s="3">
        <v>888</v>
      </c>
      <c r="B892" s="3" t="s">
        <v>1008</v>
      </c>
      <c r="C892" s="5">
        <v>173.78</v>
      </c>
      <c r="D892" s="5">
        <v>0</v>
      </c>
      <c r="E892" s="6">
        <v>8.97634279535974e-6</v>
      </c>
      <c r="F892" s="6">
        <v>0</v>
      </c>
      <c r="G892" s="8">
        <v>-1</v>
      </c>
    </row>
    <row r="893" spans="1:7">
      <c r="A893" s="3">
        <v>889</v>
      </c>
      <c r="B893" s="3" t="s">
        <v>1009</v>
      </c>
      <c r="C893" s="5">
        <v>173.08</v>
      </c>
      <c r="D893" s="5">
        <v>0</v>
      </c>
      <c r="E893" s="6">
        <v>8.94018535516667e-6</v>
      </c>
      <c r="F893" s="6">
        <v>0</v>
      </c>
      <c r="G893" s="8">
        <v>-1</v>
      </c>
    </row>
    <row r="894" spans="1:7">
      <c r="A894" s="3">
        <v>890</v>
      </c>
      <c r="B894" s="3" t="s">
        <v>1010</v>
      </c>
      <c r="C894" s="5">
        <v>171.47</v>
      </c>
      <c r="D894" s="5">
        <v>0</v>
      </c>
      <c r="E894" s="6">
        <v>8.85702324272261e-6</v>
      </c>
      <c r="F894" s="6">
        <v>0</v>
      </c>
      <c r="G894" s="8">
        <v>-1</v>
      </c>
    </row>
    <row r="895" spans="1:7">
      <c r="A895" s="3">
        <v>891</v>
      </c>
      <c r="B895" s="3" t="s">
        <v>1011</v>
      </c>
      <c r="C895" s="5">
        <v>167.46</v>
      </c>
      <c r="D895" s="5">
        <v>0</v>
      </c>
      <c r="E895" s="6">
        <v>8.6498927639023e-6</v>
      </c>
      <c r="F895" s="6">
        <v>0</v>
      </c>
      <c r="G895" s="8">
        <v>-1</v>
      </c>
    </row>
    <row r="896" spans="1:7">
      <c r="A896" s="3">
        <v>892</v>
      </c>
      <c r="B896" s="3" t="s">
        <v>1012</v>
      </c>
      <c r="C896" s="5">
        <v>166.5</v>
      </c>
      <c r="D896" s="5">
        <v>0</v>
      </c>
      <c r="E896" s="6">
        <v>8.60030541735181e-6</v>
      </c>
      <c r="F896" s="6">
        <v>0</v>
      </c>
      <c r="G896" s="8">
        <v>-1</v>
      </c>
    </row>
    <row r="897" spans="1:7">
      <c r="A897" s="3">
        <v>893</v>
      </c>
      <c r="B897" s="3" t="s">
        <v>1013</v>
      </c>
      <c r="C897" s="5">
        <v>160.92</v>
      </c>
      <c r="D897" s="5">
        <v>0</v>
      </c>
      <c r="E897" s="6">
        <v>8.31207896552704e-6</v>
      </c>
      <c r="F897" s="6">
        <v>0</v>
      </c>
      <c r="G897" s="8">
        <v>-1</v>
      </c>
    </row>
    <row r="898" spans="1:7">
      <c r="A898" s="3">
        <v>894</v>
      </c>
      <c r="B898" s="3" t="s">
        <v>1014</v>
      </c>
      <c r="C898" s="5">
        <v>159.98</v>
      </c>
      <c r="D898" s="5">
        <v>0</v>
      </c>
      <c r="E898" s="6">
        <v>8.26352468869635e-6</v>
      </c>
      <c r="F898" s="6">
        <v>0</v>
      </c>
      <c r="G898" s="8">
        <v>-1</v>
      </c>
    </row>
    <row r="899" spans="1:7">
      <c r="A899" s="3">
        <v>895</v>
      </c>
      <c r="B899" s="3" t="s">
        <v>1015</v>
      </c>
      <c r="C899" s="5">
        <v>155.12</v>
      </c>
      <c r="D899" s="5">
        <v>0</v>
      </c>
      <c r="E899" s="6">
        <v>8.01248874678446e-6</v>
      </c>
      <c r="F899" s="6">
        <v>0</v>
      </c>
      <c r="G899" s="8">
        <v>-1</v>
      </c>
    </row>
    <row r="900" spans="1:7">
      <c r="A900" s="3">
        <v>896</v>
      </c>
      <c r="B900" s="3" t="s">
        <v>1016</v>
      </c>
      <c r="C900" s="5">
        <v>152.96</v>
      </c>
      <c r="D900" s="5">
        <v>0</v>
      </c>
      <c r="E900" s="6">
        <v>7.90091721704584e-6</v>
      </c>
      <c r="F900" s="6">
        <v>0</v>
      </c>
      <c r="G900" s="8">
        <v>-1</v>
      </c>
    </row>
    <row r="901" spans="1:7">
      <c r="A901" s="3">
        <v>897</v>
      </c>
      <c r="B901" s="3" t="s">
        <v>1017</v>
      </c>
      <c r="C901" s="5">
        <v>149.94</v>
      </c>
      <c r="D901" s="5">
        <v>0</v>
      </c>
      <c r="E901" s="6">
        <v>7.74492368935573e-6</v>
      </c>
      <c r="F901" s="6">
        <v>0</v>
      </c>
      <c r="G901" s="8">
        <v>-1</v>
      </c>
    </row>
    <row r="902" spans="1:7">
      <c r="A902" s="3">
        <v>898</v>
      </c>
      <c r="B902" s="3" t="s">
        <v>1018</v>
      </c>
      <c r="C902" s="5">
        <v>143.39</v>
      </c>
      <c r="D902" s="5">
        <v>0</v>
      </c>
      <c r="E902" s="6">
        <v>7.40659335612057e-6</v>
      </c>
      <c r="F902" s="6">
        <v>0</v>
      </c>
      <c r="G902" s="8">
        <v>-1</v>
      </c>
    </row>
    <row r="903" spans="1:7">
      <c r="A903" s="3">
        <v>899</v>
      </c>
      <c r="B903" s="3" t="s">
        <v>1019</v>
      </c>
      <c r="C903" s="5">
        <v>139</v>
      </c>
      <c r="D903" s="5">
        <v>0</v>
      </c>
      <c r="E903" s="6">
        <v>7.17983455262403e-6</v>
      </c>
      <c r="F903" s="6">
        <v>0</v>
      </c>
      <c r="G903" s="8">
        <v>-1</v>
      </c>
    </row>
    <row r="904" spans="1:7">
      <c r="A904" s="3">
        <v>900</v>
      </c>
      <c r="B904" s="3" t="s">
        <v>1020</v>
      </c>
      <c r="C904" s="5">
        <v>137.94</v>
      </c>
      <c r="D904" s="5">
        <v>0</v>
      </c>
      <c r="E904" s="6">
        <v>7.12508185747452e-6</v>
      </c>
      <c r="F904" s="6">
        <v>0</v>
      </c>
      <c r="G904" s="8">
        <v>-1</v>
      </c>
    </row>
    <row r="905" spans="1:7">
      <c r="A905" s="3">
        <v>901</v>
      </c>
      <c r="B905" s="3" t="s">
        <v>1021</v>
      </c>
      <c r="C905" s="5">
        <v>133</v>
      </c>
      <c r="D905" s="5">
        <v>0</v>
      </c>
      <c r="E905" s="6">
        <v>6.86991363668342e-6</v>
      </c>
      <c r="F905" s="6">
        <v>0</v>
      </c>
      <c r="G905" s="8">
        <v>-1</v>
      </c>
    </row>
    <row r="906" spans="1:7">
      <c r="A906" s="3">
        <v>902</v>
      </c>
      <c r="B906" s="3" t="s">
        <v>1022</v>
      </c>
      <c r="C906" s="5">
        <v>133</v>
      </c>
      <c r="D906" s="5">
        <v>0</v>
      </c>
      <c r="E906" s="6">
        <v>6.86991363668342e-6</v>
      </c>
      <c r="F906" s="6">
        <v>0</v>
      </c>
      <c r="G906" s="8">
        <v>-1</v>
      </c>
    </row>
    <row r="907" spans="1:7">
      <c r="A907" s="3">
        <v>903</v>
      </c>
      <c r="B907" s="3" t="s">
        <v>1023</v>
      </c>
      <c r="C907" s="5">
        <v>132.6</v>
      </c>
      <c r="D907" s="5">
        <v>0</v>
      </c>
      <c r="E907" s="6">
        <v>6.84925224228738e-6</v>
      </c>
      <c r="F907" s="6">
        <v>0</v>
      </c>
      <c r="G907" s="8">
        <v>-1</v>
      </c>
    </row>
    <row r="908" spans="1:7">
      <c r="A908" s="3">
        <v>904</v>
      </c>
      <c r="B908" s="3" t="s">
        <v>1024</v>
      </c>
      <c r="C908" s="5">
        <v>130.48</v>
      </c>
      <c r="D908" s="5">
        <v>0</v>
      </c>
      <c r="E908" s="6">
        <v>6.73974685198837e-6</v>
      </c>
      <c r="F908" s="6">
        <v>0</v>
      </c>
      <c r="G908" s="8">
        <v>-1</v>
      </c>
    </row>
    <row r="909" spans="1:7">
      <c r="A909" s="3">
        <v>905</v>
      </c>
      <c r="B909" s="3" t="s">
        <v>1025</v>
      </c>
      <c r="C909" s="5">
        <v>128.89</v>
      </c>
      <c r="D909" s="5">
        <v>0</v>
      </c>
      <c r="E909" s="6">
        <v>6.65761780926411e-6</v>
      </c>
      <c r="F909" s="6">
        <v>0</v>
      </c>
      <c r="G909" s="8">
        <v>-1</v>
      </c>
    </row>
    <row r="910" spans="1:7">
      <c r="A910" s="3">
        <v>906</v>
      </c>
      <c r="B910" s="3" t="s">
        <v>1026</v>
      </c>
      <c r="C910" s="5">
        <v>121.31</v>
      </c>
      <c r="D910" s="5">
        <v>0</v>
      </c>
      <c r="E910" s="6">
        <v>6.26608438545914e-6</v>
      </c>
      <c r="F910" s="6">
        <v>0</v>
      </c>
      <c r="G910" s="8">
        <v>-1</v>
      </c>
    </row>
    <row r="911" spans="1:7">
      <c r="A911" s="3">
        <v>907</v>
      </c>
      <c r="B911" s="3" t="s">
        <v>1027</v>
      </c>
      <c r="C911" s="5">
        <v>120.24</v>
      </c>
      <c r="D911" s="5">
        <v>0</v>
      </c>
      <c r="E911" s="6">
        <v>6.21081515544973e-6</v>
      </c>
      <c r="F911" s="6">
        <v>0</v>
      </c>
      <c r="G911" s="8">
        <v>-1</v>
      </c>
    </row>
    <row r="912" spans="1:7">
      <c r="A912" s="3">
        <v>908</v>
      </c>
      <c r="B912" s="3" t="s">
        <v>1028</v>
      </c>
      <c r="C912" s="5">
        <v>119.95</v>
      </c>
      <c r="D912" s="5">
        <v>0</v>
      </c>
      <c r="E912" s="6">
        <v>6.19583564451261e-6</v>
      </c>
      <c r="F912" s="6">
        <v>0</v>
      </c>
      <c r="G912" s="8">
        <v>-1</v>
      </c>
    </row>
    <row r="913" spans="1:7">
      <c r="A913" s="3">
        <v>909</v>
      </c>
      <c r="B913" s="3" t="s">
        <v>1029</v>
      </c>
      <c r="C913" s="5">
        <v>119.94</v>
      </c>
      <c r="D913" s="5">
        <v>0</v>
      </c>
      <c r="E913" s="6">
        <v>6.19531910965271e-6</v>
      </c>
      <c r="F913" s="6">
        <v>0</v>
      </c>
      <c r="G913" s="8">
        <v>-1</v>
      </c>
    </row>
    <row r="914" spans="1:7">
      <c r="A914" s="3">
        <v>910</v>
      </c>
      <c r="B914" s="3" t="s">
        <v>1030</v>
      </c>
      <c r="C914" s="5">
        <v>119.29</v>
      </c>
      <c r="D914" s="5">
        <v>0</v>
      </c>
      <c r="E914" s="6">
        <v>6.16174434375914e-6</v>
      </c>
      <c r="F914" s="6">
        <v>0</v>
      </c>
      <c r="G914" s="8">
        <v>-1</v>
      </c>
    </row>
    <row r="915" spans="1:7">
      <c r="A915" s="3">
        <v>911</v>
      </c>
      <c r="B915" s="3" t="s">
        <v>1031</v>
      </c>
      <c r="C915" s="5">
        <v>117.52</v>
      </c>
      <c r="D915" s="5">
        <v>0</v>
      </c>
      <c r="E915" s="6">
        <v>6.07031767355666e-6</v>
      </c>
      <c r="F915" s="6">
        <v>0</v>
      </c>
      <c r="G915" s="8">
        <v>-1</v>
      </c>
    </row>
    <row r="916" spans="1:7">
      <c r="A916" s="3">
        <v>912</v>
      </c>
      <c r="B916" s="3" t="s">
        <v>1032</v>
      </c>
      <c r="C916" s="5">
        <v>116.97</v>
      </c>
      <c r="D916" s="5">
        <v>0</v>
      </c>
      <c r="E916" s="6">
        <v>6.04190825626211e-6</v>
      </c>
      <c r="F916" s="6">
        <v>0</v>
      </c>
      <c r="G916" s="8">
        <v>-1</v>
      </c>
    </row>
    <row r="917" spans="1:7">
      <c r="A917" s="3">
        <v>913</v>
      </c>
      <c r="B917" s="3" t="s">
        <v>1033</v>
      </c>
      <c r="C917" s="5">
        <v>110.78</v>
      </c>
      <c r="D917" s="5">
        <v>0</v>
      </c>
      <c r="E917" s="6">
        <v>5.72217317798338e-6</v>
      </c>
      <c r="F917" s="6">
        <v>0</v>
      </c>
      <c r="G917" s="8">
        <v>-1</v>
      </c>
    </row>
    <row r="918" spans="1:7">
      <c r="A918" s="3">
        <v>914</v>
      </c>
      <c r="B918" s="3" t="s">
        <v>1034</v>
      </c>
      <c r="C918" s="5">
        <v>109.95</v>
      </c>
      <c r="D918" s="5">
        <v>0</v>
      </c>
      <c r="E918" s="6">
        <v>5.6793007846116e-6</v>
      </c>
      <c r="F918" s="6">
        <v>0</v>
      </c>
      <c r="G918" s="8">
        <v>-1</v>
      </c>
    </row>
    <row r="919" spans="1:7">
      <c r="A919" s="3">
        <v>915</v>
      </c>
      <c r="B919" s="3" t="s">
        <v>1035</v>
      </c>
      <c r="C919" s="5">
        <v>109.83</v>
      </c>
      <c r="D919" s="5">
        <v>0</v>
      </c>
      <c r="E919" s="6">
        <v>5.67310236629278e-6</v>
      </c>
      <c r="F919" s="6">
        <v>0</v>
      </c>
      <c r="G919" s="8">
        <v>-1</v>
      </c>
    </row>
    <row r="920" spans="1:7">
      <c r="A920" s="3">
        <v>916</v>
      </c>
      <c r="B920" s="3" t="s">
        <v>1036</v>
      </c>
      <c r="C920" s="5">
        <v>109.5</v>
      </c>
      <c r="D920" s="5">
        <v>0</v>
      </c>
      <c r="E920" s="6">
        <v>5.65605671591605e-6</v>
      </c>
      <c r="F920" s="6">
        <v>0</v>
      </c>
      <c r="G920" s="8">
        <v>-1</v>
      </c>
    </row>
    <row r="921" spans="1:7">
      <c r="A921" s="3">
        <v>917</v>
      </c>
      <c r="B921" s="3" t="s">
        <v>1037</v>
      </c>
      <c r="C921" s="5">
        <v>107.94</v>
      </c>
      <c r="D921" s="5">
        <v>0</v>
      </c>
      <c r="E921" s="6">
        <v>5.57547727777149e-6</v>
      </c>
      <c r="F921" s="6">
        <v>0</v>
      </c>
      <c r="G921" s="8">
        <v>-1</v>
      </c>
    </row>
    <row r="922" spans="1:7">
      <c r="A922" s="3">
        <v>918</v>
      </c>
      <c r="B922" s="3" t="s">
        <v>1038</v>
      </c>
      <c r="C922" s="5">
        <v>107.4</v>
      </c>
      <c r="D922" s="5">
        <v>0</v>
      </c>
      <c r="E922" s="6">
        <v>5.54758439533684e-6</v>
      </c>
      <c r="F922" s="6">
        <v>0</v>
      </c>
      <c r="G922" s="8">
        <v>-1</v>
      </c>
    </row>
    <row r="923" spans="1:7">
      <c r="A923" s="3">
        <v>919</v>
      </c>
      <c r="B923" s="3" t="s">
        <v>1039</v>
      </c>
      <c r="C923" s="5">
        <v>105.32</v>
      </c>
      <c r="D923" s="5">
        <v>0</v>
      </c>
      <c r="E923" s="6">
        <v>5.44014514447743e-6</v>
      </c>
      <c r="F923" s="6">
        <v>0</v>
      </c>
      <c r="G923" s="8">
        <v>-1</v>
      </c>
    </row>
    <row r="924" spans="1:7">
      <c r="A924" s="3">
        <v>920</v>
      </c>
      <c r="B924" s="3" t="s">
        <v>1040</v>
      </c>
      <c r="C924" s="5">
        <v>104.62</v>
      </c>
      <c r="D924" s="5">
        <v>0</v>
      </c>
      <c r="E924" s="6">
        <v>5.40398770428436e-6</v>
      </c>
      <c r="F924" s="6">
        <v>0</v>
      </c>
      <c r="G924" s="8">
        <v>-1</v>
      </c>
    </row>
    <row r="925" spans="1:7">
      <c r="A925" s="3">
        <v>921</v>
      </c>
      <c r="B925" s="3" t="s">
        <v>1041</v>
      </c>
      <c r="C925" s="5">
        <v>103.54</v>
      </c>
      <c r="D925" s="5">
        <v>0</v>
      </c>
      <c r="E925" s="6">
        <v>5.34820193941505e-6</v>
      </c>
      <c r="F925" s="6">
        <v>0</v>
      </c>
      <c r="G925" s="8">
        <v>-1</v>
      </c>
    </row>
    <row r="926" spans="1:7">
      <c r="A926" s="3">
        <v>922</v>
      </c>
      <c r="B926" s="3" t="s">
        <v>1042</v>
      </c>
      <c r="C926" s="5">
        <v>102.63</v>
      </c>
      <c r="D926" s="5">
        <v>0</v>
      </c>
      <c r="E926" s="6">
        <v>5.30119726716406e-6</v>
      </c>
      <c r="F926" s="6">
        <v>0</v>
      </c>
      <c r="G926" s="8">
        <v>-1</v>
      </c>
    </row>
    <row r="927" spans="1:7">
      <c r="A927" s="3">
        <v>923</v>
      </c>
      <c r="B927" s="3" t="s">
        <v>1043</v>
      </c>
      <c r="C927" s="5">
        <v>102.06</v>
      </c>
      <c r="D927" s="5">
        <v>0</v>
      </c>
      <c r="E927" s="6">
        <v>5.2717547801497e-6</v>
      </c>
      <c r="F927" s="6">
        <v>0</v>
      </c>
      <c r="G927" s="8">
        <v>-1</v>
      </c>
    </row>
    <row r="928" spans="1:7">
      <c r="A928" s="3">
        <v>924</v>
      </c>
      <c r="B928" s="3" t="s">
        <v>1044</v>
      </c>
      <c r="C928" s="5">
        <v>99.95</v>
      </c>
      <c r="D928" s="5">
        <v>0</v>
      </c>
      <c r="E928" s="6">
        <v>5.16276592471059e-6</v>
      </c>
      <c r="F928" s="6">
        <v>0</v>
      </c>
      <c r="G928" s="8">
        <v>-1</v>
      </c>
    </row>
    <row r="929" spans="1:7">
      <c r="A929" s="3">
        <v>925</v>
      </c>
      <c r="B929" s="3" t="s">
        <v>1045</v>
      </c>
      <c r="C929" s="5">
        <v>99</v>
      </c>
      <c r="D929" s="5">
        <v>0</v>
      </c>
      <c r="E929" s="6">
        <v>5.11369511301999e-6</v>
      </c>
      <c r="F929" s="6">
        <v>0</v>
      </c>
      <c r="G929" s="8">
        <v>-1</v>
      </c>
    </row>
    <row r="930" spans="1:7">
      <c r="A930" s="3">
        <v>926</v>
      </c>
      <c r="B930" s="3" t="s">
        <v>1046</v>
      </c>
      <c r="C930" s="5">
        <v>96.83</v>
      </c>
      <c r="D930" s="5">
        <v>0</v>
      </c>
      <c r="E930" s="6">
        <v>5.00160704842147e-6</v>
      </c>
      <c r="F930" s="6">
        <v>0</v>
      </c>
      <c r="G930" s="8">
        <v>-1</v>
      </c>
    </row>
    <row r="931" spans="1:7">
      <c r="A931" s="3">
        <v>927</v>
      </c>
      <c r="B931" s="3" t="s">
        <v>1047</v>
      </c>
      <c r="C931" s="5">
        <v>94.92</v>
      </c>
      <c r="D931" s="5">
        <v>0</v>
      </c>
      <c r="E931" s="6">
        <v>4.90294889018038e-6</v>
      </c>
      <c r="F931" s="6">
        <v>0</v>
      </c>
      <c r="G931" s="8">
        <v>-1</v>
      </c>
    </row>
    <row r="932" spans="1:7">
      <c r="A932" s="3">
        <v>928</v>
      </c>
      <c r="B932" s="3" t="s">
        <v>1048</v>
      </c>
      <c r="C932" s="5">
        <v>93</v>
      </c>
      <c r="D932" s="5">
        <v>0</v>
      </c>
      <c r="E932" s="6">
        <v>4.80377419707939e-6</v>
      </c>
      <c r="F932" s="6">
        <v>0</v>
      </c>
      <c r="G932" s="8">
        <v>-1</v>
      </c>
    </row>
    <row r="933" spans="1:7">
      <c r="A933" s="3">
        <v>929</v>
      </c>
      <c r="B933" s="3" t="s">
        <v>1049</v>
      </c>
      <c r="C933" s="5">
        <v>90.48</v>
      </c>
      <c r="D933" s="5">
        <v>0</v>
      </c>
      <c r="E933" s="6">
        <v>4.67360741238433e-6</v>
      </c>
      <c r="F933" s="6">
        <v>0</v>
      </c>
      <c r="G933" s="8">
        <v>-1</v>
      </c>
    </row>
    <row r="934" spans="1:7">
      <c r="A934" s="3">
        <v>930</v>
      </c>
      <c r="B934" s="3" t="s">
        <v>1050</v>
      </c>
      <c r="C934" s="5">
        <v>90</v>
      </c>
      <c r="D934" s="5">
        <v>0</v>
      </c>
      <c r="E934" s="6">
        <v>4.64881373910908e-6</v>
      </c>
      <c r="F934" s="6">
        <v>0</v>
      </c>
      <c r="G934" s="8">
        <v>-1</v>
      </c>
    </row>
    <row r="935" spans="1:7">
      <c r="A935" s="3">
        <v>931</v>
      </c>
      <c r="B935" s="3" t="s">
        <v>1051</v>
      </c>
      <c r="C935" s="5">
        <v>89.64</v>
      </c>
      <c r="D935" s="5">
        <v>0</v>
      </c>
      <c r="E935" s="6">
        <v>4.63021848415265e-6</v>
      </c>
      <c r="F935" s="6">
        <v>0</v>
      </c>
      <c r="G935" s="8">
        <v>-1</v>
      </c>
    </row>
    <row r="936" spans="1:7">
      <c r="A936" s="3">
        <v>932</v>
      </c>
      <c r="B936" s="3" t="s">
        <v>1052</v>
      </c>
      <c r="C936" s="5">
        <v>88.95</v>
      </c>
      <c r="D936" s="5">
        <v>0</v>
      </c>
      <c r="E936" s="6">
        <v>4.59457757881948e-6</v>
      </c>
      <c r="F936" s="6">
        <v>0</v>
      </c>
      <c r="G936" s="8">
        <v>-1</v>
      </c>
    </row>
    <row r="937" spans="1:7">
      <c r="A937" s="3">
        <v>933</v>
      </c>
      <c r="B937" s="3" t="s">
        <v>1053</v>
      </c>
      <c r="C937" s="5">
        <v>87</v>
      </c>
      <c r="D937" s="5">
        <v>0</v>
      </c>
      <c r="E937" s="6">
        <v>4.49385328113878e-6</v>
      </c>
      <c r="F937" s="6">
        <v>0</v>
      </c>
      <c r="G937" s="8">
        <v>-1</v>
      </c>
    </row>
    <row r="938" spans="1:7">
      <c r="A938" s="3">
        <v>934</v>
      </c>
      <c r="B938" s="3" t="s">
        <v>1054</v>
      </c>
      <c r="C938" s="5">
        <v>85.2</v>
      </c>
      <c r="D938" s="5">
        <v>0</v>
      </c>
      <c r="E938" s="6">
        <v>4.4008770063566e-6</v>
      </c>
      <c r="F938" s="6">
        <v>0</v>
      </c>
      <c r="G938" s="8">
        <v>-1</v>
      </c>
    </row>
    <row r="939" spans="1:7">
      <c r="A939" s="3">
        <v>935</v>
      </c>
      <c r="B939" s="3" t="s">
        <v>1055</v>
      </c>
      <c r="C939" s="5">
        <v>84.39</v>
      </c>
      <c r="D939" s="5">
        <v>0</v>
      </c>
      <c r="E939" s="6">
        <v>4.35903768270462e-6</v>
      </c>
      <c r="F939" s="6">
        <v>0</v>
      </c>
      <c r="G939" s="8">
        <v>-1</v>
      </c>
    </row>
    <row r="940" spans="1:7">
      <c r="A940" s="3">
        <v>936</v>
      </c>
      <c r="B940" s="3" t="s">
        <v>1056</v>
      </c>
      <c r="C940" s="5">
        <v>83.88</v>
      </c>
      <c r="D940" s="5">
        <v>0</v>
      </c>
      <c r="E940" s="6">
        <v>4.33269440484967e-6</v>
      </c>
      <c r="F940" s="6">
        <v>0</v>
      </c>
      <c r="G940" s="8">
        <v>-1</v>
      </c>
    </row>
    <row r="941" spans="1:7">
      <c r="A941" s="3">
        <v>937</v>
      </c>
      <c r="B941" s="3" t="s">
        <v>1057</v>
      </c>
      <c r="C941" s="5">
        <v>83.69</v>
      </c>
      <c r="D941" s="5">
        <v>0</v>
      </c>
      <c r="E941" s="6">
        <v>4.32288024251155e-6</v>
      </c>
      <c r="F941" s="6">
        <v>0</v>
      </c>
      <c r="G941" s="8">
        <v>-1</v>
      </c>
    </row>
    <row r="942" spans="1:7">
      <c r="A942" s="3">
        <v>938</v>
      </c>
      <c r="B942" s="3" t="s">
        <v>1058</v>
      </c>
      <c r="C942" s="5">
        <v>83.38</v>
      </c>
      <c r="D942" s="5">
        <v>0</v>
      </c>
      <c r="E942" s="6">
        <v>4.30686766185462e-6</v>
      </c>
      <c r="F942" s="6">
        <v>0</v>
      </c>
      <c r="G942" s="8">
        <v>-1</v>
      </c>
    </row>
    <row r="943" spans="1:7">
      <c r="A943" s="3">
        <v>939</v>
      </c>
      <c r="B943" s="3" t="s">
        <v>1059</v>
      </c>
      <c r="C943" s="5">
        <v>82.8</v>
      </c>
      <c r="D943" s="5">
        <v>0</v>
      </c>
      <c r="E943" s="6">
        <v>4.27690863998036e-6</v>
      </c>
      <c r="F943" s="6">
        <v>0</v>
      </c>
      <c r="G943" s="8">
        <v>-1</v>
      </c>
    </row>
    <row r="944" spans="1:7">
      <c r="A944" s="3">
        <v>940</v>
      </c>
      <c r="B944" s="3" t="s">
        <v>1060</v>
      </c>
      <c r="C944" s="5">
        <v>82.62</v>
      </c>
      <c r="D944" s="5">
        <v>0</v>
      </c>
      <c r="E944" s="6">
        <v>4.26761101250214e-6</v>
      </c>
      <c r="F944" s="6">
        <v>0</v>
      </c>
      <c r="G944" s="8">
        <v>-1</v>
      </c>
    </row>
    <row r="945" spans="1:7">
      <c r="A945" s="3">
        <v>941</v>
      </c>
      <c r="B945" s="3" t="s">
        <v>1061</v>
      </c>
      <c r="C945" s="5">
        <v>80.57</v>
      </c>
      <c r="D945" s="5">
        <v>0</v>
      </c>
      <c r="E945" s="6">
        <v>4.16172136622243e-6</v>
      </c>
      <c r="F945" s="6">
        <v>0</v>
      </c>
      <c r="G945" s="8">
        <v>-1</v>
      </c>
    </row>
    <row r="946" spans="1:7">
      <c r="A946" s="3">
        <v>942</v>
      </c>
      <c r="B946" s="3" t="s">
        <v>1062</v>
      </c>
      <c r="C946" s="5">
        <v>79.98</v>
      </c>
      <c r="D946" s="5">
        <v>0</v>
      </c>
      <c r="E946" s="6">
        <v>4.13124580948827e-6</v>
      </c>
      <c r="F946" s="6">
        <v>0</v>
      </c>
      <c r="G946" s="8">
        <v>-1</v>
      </c>
    </row>
    <row r="947" spans="1:7">
      <c r="A947" s="3">
        <v>943</v>
      </c>
      <c r="B947" s="3" t="s">
        <v>1063</v>
      </c>
      <c r="C947" s="5">
        <v>79.98</v>
      </c>
      <c r="D947" s="5">
        <v>0</v>
      </c>
      <c r="E947" s="6">
        <v>4.13124580948827e-6</v>
      </c>
      <c r="F947" s="6">
        <v>0</v>
      </c>
      <c r="G947" s="8">
        <v>-1</v>
      </c>
    </row>
    <row r="948" spans="1:7">
      <c r="A948" s="3">
        <v>944</v>
      </c>
      <c r="B948" s="3" t="s">
        <v>1064</v>
      </c>
      <c r="C948" s="5">
        <v>79.75</v>
      </c>
      <c r="D948" s="5">
        <v>0</v>
      </c>
      <c r="E948" s="6">
        <v>4.11936550771055e-6</v>
      </c>
      <c r="F948" s="6">
        <v>0</v>
      </c>
      <c r="G948" s="8">
        <v>-1</v>
      </c>
    </row>
    <row r="949" spans="1:7">
      <c r="A949" s="3">
        <v>945</v>
      </c>
      <c r="B949" s="3" t="s">
        <v>1065</v>
      </c>
      <c r="C949" s="5">
        <v>77.98</v>
      </c>
      <c r="D949" s="5">
        <v>0</v>
      </c>
      <c r="E949" s="6">
        <v>4.02793883750807e-6</v>
      </c>
      <c r="F949" s="6">
        <v>0</v>
      </c>
      <c r="G949" s="8">
        <v>-1</v>
      </c>
    </row>
    <row r="950" spans="1:7">
      <c r="A950" s="3">
        <v>946</v>
      </c>
      <c r="B950" s="3" t="s">
        <v>1066</v>
      </c>
      <c r="C950" s="5">
        <v>77.94</v>
      </c>
      <c r="D950" s="5">
        <v>0</v>
      </c>
      <c r="E950" s="6">
        <v>4.02587269806847e-6</v>
      </c>
      <c r="F950" s="6">
        <v>0</v>
      </c>
      <c r="G950" s="8">
        <v>-1</v>
      </c>
    </row>
    <row r="951" spans="1:7">
      <c r="A951" s="3">
        <v>947</v>
      </c>
      <c r="B951" s="3" t="s">
        <v>1067</v>
      </c>
      <c r="C951" s="5">
        <v>76.52</v>
      </c>
      <c r="D951" s="5">
        <v>0</v>
      </c>
      <c r="E951" s="6">
        <v>3.95252474796252e-6</v>
      </c>
      <c r="F951" s="6">
        <v>0</v>
      </c>
      <c r="G951" s="8">
        <v>-1</v>
      </c>
    </row>
    <row r="952" spans="1:7">
      <c r="A952" s="3">
        <v>948</v>
      </c>
      <c r="B952" s="3" t="s">
        <v>1068</v>
      </c>
      <c r="C952" s="5">
        <v>76.41</v>
      </c>
      <c r="D952" s="5">
        <v>0</v>
      </c>
      <c r="E952" s="6">
        <v>3.94684286450361e-6</v>
      </c>
      <c r="F952" s="6">
        <v>0</v>
      </c>
      <c r="G952" s="8">
        <v>-1</v>
      </c>
    </row>
    <row r="953" spans="1:7">
      <c r="A953" s="3">
        <v>949</v>
      </c>
      <c r="B953" s="3" t="s">
        <v>1069</v>
      </c>
      <c r="C953" s="5">
        <v>75.5</v>
      </c>
      <c r="D953" s="5">
        <v>0</v>
      </c>
      <c r="E953" s="6">
        <v>3.89983819225262e-6</v>
      </c>
      <c r="F953" s="6">
        <v>0</v>
      </c>
      <c r="G953" s="8">
        <v>-1</v>
      </c>
    </row>
    <row r="954" spans="1:7">
      <c r="A954" s="3">
        <v>950</v>
      </c>
      <c r="B954" s="3" t="s">
        <v>1070</v>
      </c>
      <c r="C954" s="5">
        <v>74.97</v>
      </c>
      <c r="D954" s="5">
        <v>0</v>
      </c>
      <c r="E954" s="6">
        <v>3.87246184467787e-6</v>
      </c>
      <c r="F954" s="6">
        <v>0</v>
      </c>
      <c r="G954" s="8">
        <v>-1</v>
      </c>
    </row>
    <row r="955" spans="1:7">
      <c r="A955" s="3">
        <v>951</v>
      </c>
      <c r="B955" s="3" t="s">
        <v>1071</v>
      </c>
      <c r="C955" s="5">
        <v>74.97</v>
      </c>
      <c r="D955" s="5">
        <v>0</v>
      </c>
      <c r="E955" s="6">
        <v>3.87246184467787e-6</v>
      </c>
      <c r="F955" s="6">
        <v>0</v>
      </c>
      <c r="G955" s="8">
        <v>-1</v>
      </c>
    </row>
    <row r="956" spans="1:7">
      <c r="A956" s="3">
        <v>952</v>
      </c>
      <c r="B956" s="3" t="s">
        <v>1072</v>
      </c>
      <c r="C956" s="5">
        <v>74.97</v>
      </c>
      <c r="D956" s="5">
        <v>0</v>
      </c>
      <c r="E956" s="6">
        <v>3.87246184467787e-6</v>
      </c>
      <c r="F956" s="6">
        <v>0</v>
      </c>
      <c r="G956" s="8">
        <v>-1</v>
      </c>
    </row>
    <row r="957" spans="1:7">
      <c r="A957" s="3">
        <v>953</v>
      </c>
      <c r="B957" s="3" t="s">
        <v>1073</v>
      </c>
      <c r="C957" s="5">
        <v>74.93</v>
      </c>
      <c r="D957" s="5">
        <v>0</v>
      </c>
      <c r="E957" s="6">
        <v>3.87039570523826e-6</v>
      </c>
      <c r="F957" s="6">
        <v>0</v>
      </c>
      <c r="G957" s="8">
        <v>-1</v>
      </c>
    </row>
    <row r="958" spans="1:7">
      <c r="A958" s="3">
        <v>954</v>
      </c>
      <c r="B958" s="3" t="s">
        <v>1074</v>
      </c>
      <c r="C958" s="5">
        <v>71.88</v>
      </c>
      <c r="D958" s="5">
        <v>0</v>
      </c>
      <c r="E958" s="6">
        <v>3.71285257296846e-6</v>
      </c>
      <c r="F958" s="6">
        <v>0</v>
      </c>
      <c r="G958" s="8">
        <v>-1</v>
      </c>
    </row>
    <row r="959" spans="1:7">
      <c r="A959" s="3">
        <v>955</v>
      </c>
      <c r="B959" s="3" t="s">
        <v>1075</v>
      </c>
      <c r="C959" s="5">
        <v>67.86</v>
      </c>
      <c r="D959" s="5">
        <v>0</v>
      </c>
      <c r="E959" s="6">
        <v>3.50520555928825e-6</v>
      </c>
      <c r="F959" s="6">
        <v>0</v>
      </c>
      <c r="G959" s="8">
        <v>-1</v>
      </c>
    </row>
    <row r="960" spans="1:7">
      <c r="A960" s="3">
        <v>956</v>
      </c>
      <c r="B960" s="3" t="s">
        <v>1076</v>
      </c>
      <c r="C960" s="5">
        <v>66.3</v>
      </c>
      <c r="D960" s="5">
        <v>0</v>
      </c>
      <c r="E960" s="6">
        <v>3.42462612114369e-6</v>
      </c>
      <c r="F960" s="6">
        <v>0</v>
      </c>
      <c r="G960" s="8">
        <v>-1</v>
      </c>
    </row>
    <row r="961" spans="1:7">
      <c r="A961" s="3">
        <v>957</v>
      </c>
      <c r="B961" s="3" t="s">
        <v>1077</v>
      </c>
      <c r="C961" s="5">
        <v>64.99</v>
      </c>
      <c r="D961" s="5">
        <v>0</v>
      </c>
      <c r="E961" s="6">
        <v>3.35696005449666e-6</v>
      </c>
      <c r="F961" s="6">
        <v>0</v>
      </c>
      <c r="G961" s="8">
        <v>-1</v>
      </c>
    </row>
    <row r="962" spans="1:7">
      <c r="A962" s="3">
        <v>958</v>
      </c>
      <c r="B962" s="3" t="s">
        <v>1078</v>
      </c>
      <c r="C962" s="5">
        <v>64.58</v>
      </c>
      <c r="D962" s="5">
        <v>0</v>
      </c>
      <c r="E962" s="6">
        <v>3.33578212524072e-6</v>
      </c>
      <c r="F962" s="6">
        <v>0</v>
      </c>
      <c r="G962" s="8">
        <v>-1</v>
      </c>
    </row>
    <row r="963" spans="1:7">
      <c r="A963" s="3">
        <v>959</v>
      </c>
      <c r="B963" s="3" t="s">
        <v>1079</v>
      </c>
      <c r="C963" s="5">
        <v>63.98</v>
      </c>
      <c r="D963" s="5">
        <v>0</v>
      </c>
      <c r="E963" s="6">
        <v>3.30479003364666e-6</v>
      </c>
      <c r="F963" s="6">
        <v>0</v>
      </c>
      <c r="G963" s="8">
        <v>-1</v>
      </c>
    </row>
    <row r="964" spans="1:7">
      <c r="A964" s="3">
        <v>960</v>
      </c>
      <c r="B964" s="3" t="s">
        <v>1080</v>
      </c>
      <c r="C964" s="5">
        <v>63.12</v>
      </c>
      <c r="D964" s="5">
        <v>0</v>
      </c>
      <c r="E964" s="6">
        <v>3.26036803569517e-6</v>
      </c>
      <c r="F964" s="6">
        <v>0</v>
      </c>
      <c r="G964" s="8">
        <v>-1</v>
      </c>
    </row>
    <row r="965" spans="1:7">
      <c r="A965" s="3">
        <v>961</v>
      </c>
      <c r="B965" s="3" t="s">
        <v>1081</v>
      </c>
      <c r="C965" s="5">
        <v>62.37</v>
      </c>
      <c r="D965" s="5">
        <v>0</v>
      </c>
      <c r="E965" s="6">
        <v>3.2216279212026e-6</v>
      </c>
      <c r="F965" s="6">
        <v>0</v>
      </c>
      <c r="G965" s="8">
        <v>-1</v>
      </c>
    </row>
    <row r="966" spans="1:7">
      <c r="A966" s="3">
        <v>962</v>
      </c>
      <c r="B966" s="3" t="s">
        <v>1082</v>
      </c>
      <c r="C966" s="5">
        <v>61.95</v>
      </c>
      <c r="D966" s="5">
        <v>0</v>
      </c>
      <c r="E966" s="6">
        <v>3.19993345708675e-6</v>
      </c>
      <c r="F966" s="6">
        <v>0</v>
      </c>
      <c r="G966" s="8">
        <v>-1</v>
      </c>
    </row>
    <row r="967" spans="1:7">
      <c r="A967" s="3">
        <v>963</v>
      </c>
      <c r="B967" s="3" t="s">
        <v>1083</v>
      </c>
      <c r="C967" s="5">
        <v>59.98</v>
      </c>
      <c r="D967" s="5">
        <v>0</v>
      </c>
      <c r="E967" s="6">
        <v>3.09817608968625e-6</v>
      </c>
      <c r="F967" s="6">
        <v>0</v>
      </c>
      <c r="G967" s="8">
        <v>-1</v>
      </c>
    </row>
    <row r="968" spans="1:7">
      <c r="A968" s="3">
        <v>964</v>
      </c>
      <c r="B968" s="3" t="s">
        <v>1084</v>
      </c>
      <c r="C968" s="5">
        <v>59.97</v>
      </c>
      <c r="D968" s="5">
        <v>0</v>
      </c>
      <c r="E968" s="6">
        <v>3.09765955482635e-6</v>
      </c>
      <c r="F968" s="6">
        <v>0</v>
      </c>
      <c r="G968" s="8">
        <v>-1</v>
      </c>
    </row>
    <row r="969" spans="1:7">
      <c r="A969" s="3">
        <v>965</v>
      </c>
      <c r="B969" s="3" t="s">
        <v>1085</v>
      </c>
      <c r="C969" s="5">
        <v>59.19</v>
      </c>
      <c r="D969" s="5">
        <v>0</v>
      </c>
      <c r="E969" s="6">
        <v>3.05736983575407e-6</v>
      </c>
      <c r="F969" s="6">
        <v>0</v>
      </c>
      <c r="G969" s="8">
        <v>-1</v>
      </c>
    </row>
    <row r="970" spans="1:7">
      <c r="A970" s="3">
        <v>966</v>
      </c>
      <c r="B970" s="3" t="s">
        <v>1086</v>
      </c>
      <c r="C970" s="5">
        <v>58.24</v>
      </c>
      <c r="D970" s="5">
        <v>0</v>
      </c>
      <c r="E970" s="6">
        <v>3.00829902406348e-6</v>
      </c>
      <c r="F970" s="6">
        <v>0</v>
      </c>
      <c r="G970" s="8">
        <v>-1</v>
      </c>
    </row>
    <row r="971" spans="1:7">
      <c r="A971" s="3">
        <v>967</v>
      </c>
      <c r="B971" s="3" t="s">
        <v>1087</v>
      </c>
      <c r="C971" s="5">
        <v>56.97</v>
      </c>
      <c r="D971" s="5">
        <v>0</v>
      </c>
      <c r="E971" s="6">
        <v>2.94269909685605e-6</v>
      </c>
      <c r="F971" s="6">
        <v>0</v>
      </c>
      <c r="G971" s="8">
        <v>-1</v>
      </c>
    </row>
    <row r="972" spans="1:7">
      <c r="A972" s="3">
        <v>968</v>
      </c>
      <c r="B972" s="3" t="s">
        <v>1088</v>
      </c>
      <c r="C972" s="5">
        <v>55.93</v>
      </c>
      <c r="D972" s="5">
        <v>0</v>
      </c>
      <c r="E972" s="6">
        <v>2.88897947142635e-6</v>
      </c>
      <c r="F972" s="6">
        <v>0</v>
      </c>
      <c r="G972" s="8">
        <v>-1</v>
      </c>
    </row>
    <row r="973" spans="1:7">
      <c r="A973" s="3">
        <v>969</v>
      </c>
      <c r="B973" s="3" t="s">
        <v>1089</v>
      </c>
      <c r="C973" s="5">
        <v>55.7</v>
      </c>
      <c r="D973" s="5">
        <v>0</v>
      </c>
      <c r="E973" s="6">
        <v>2.87709916964862e-6</v>
      </c>
      <c r="F973" s="6">
        <v>0</v>
      </c>
      <c r="G973" s="8">
        <v>-1</v>
      </c>
    </row>
    <row r="974" spans="1:7">
      <c r="A974" s="3">
        <v>970</v>
      </c>
      <c r="B974" s="3" t="s">
        <v>1090</v>
      </c>
      <c r="C974" s="5">
        <v>55.6</v>
      </c>
      <c r="D974" s="5">
        <v>0</v>
      </c>
      <c r="E974" s="6">
        <v>2.87193382104961e-6</v>
      </c>
      <c r="F974" s="6">
        <v>0</v>
      </c>
      <c r="G974" s="8">
        <v>-1</v>
      </c>
    </row>
    <row r="975" spans="1:7">
      <c r="A975" s="3">
        <v>971</v>
      </c>
      <c r="B975" s="3" t="s">
        <v>1091</v>
      </c>
      <c r="C975" s="5">
        <v>54.95</v>
      </c>
      <c r="D975" s="5">
        <v>0</v>
      </c>
      <c r="E975" s="6">
        <v>2.83835905515605e-6</v>
      </c>
      <c r="F975" s="6">
        <v>0</v>
      </c>
      <c r="G975" s="8">
        <v>-1</v>
      </c>
    </row>
    <row r="976" spans="1:7">
      <c r="A976" s="3">
        <v>972</v>
      </c>
      <c r="B976" s="3" t="s">
        <v>1092</v>
      </c>
      <c r="C976" s="5">
        <v>54.94</v>
      </c>
      <c r="D976" s="5">
        <v>0</v>
      </c>
      <c r="E976" s="6">
        <v>2.83784252029614e-6</v>
      </c>
      <c r="F976" s="6">
        <v>0</v>
      </c>
      <c r="G976" s="8">
        <v>-1</v>
      </c>
    </row>
    <row r="977" spans="1:7">
      <c r="A977" s="3">
        <v>973</v>
      </c>
      <c r="B977" s="3" t="s">
        <v>1093</v>
      </c>
      <c r="C977" s="5">
        <v>54.14</v>
      </c>
      <c r="D977" s="5">
        <v>0</v>
      </c>
      <c r="E977" s="6">
        <v>2.79651973150406e-6</v>
      </c>
      <c r="F977" s="6">
        <v>0</v>
      </c>
      <c r="G977" s="8">
        <v>-1</v>
      </c>
    </row>
    <row r="978" spans="1:7">
      <c r="A978" s="3">
        <v>974</v>
      </c>
      <c r="B978" s="3" t="s">
        <v>1094</v>
      </c>
      <c r="C978" s="5">
        <v>52.45</v>
      </c>
      <c r="D978" s="5">
        <v>0</v>
      </c>
      <c r="E978" s="6">
        <v>2.70922534018079e-6</v>
      </c>
      <c r="F978" s="6">
        <v>0</v>
      </c>
      <c r="G978" s="8">
        <v>-1</v>
      </c>
    </row>
    <row r="979" spans="1:7">
      <c r="A979" s="3">
        <v>975</v>
      </c>
      <c r="B979" s="3" t="s">
        <v>1095</v>
      </c>
      <c r="C979" s="5">
        <v>52.45</v>
      </c>
      <c r="D979" s="5">
        <v>0</v>
      </c>
      <c r="E979" s="6">
        <v>2.70922534018079e-6</v>
      </c>
      <c r="F979" s="6">
        <v>0</v>
      </c>
      <c r="G979" s="8">
        <v>-1</v>
      </c>
    </row>
    <row r="980" spans="1:7">
      <c r="A980" s="3">
        <v>976</v>
      </c>
      <c r="B980" s="3" t="s">
        <v>1096</v>
      </c>
      <c r="C980" s="5">
        <v>52.12</v>
      </c>
      <c r="D980" s="5">
        <v>0</v>
      </c>
      <c r="E980" s="6">
        <v>2.69217968980406e-6</v>
      </c>
      <c r="F980" s="6">
        <v>0</v>
      </c>
      <c r="G980" s="8">
        <v>-1</v>
      </c>
    </row>
    <row r="981" spans="1:7">
      <c r="A981" s="3">
        <v>977</v>
      </c>
      <c r="B981" s="3" t="s">
        <v>1097</v>
      </c>
      <c r="C981" s="5">
        <v>52</v>
      </c>
      <c r="D981" s="5">
        <v>0</v>
      </c>
      <c r="E981" s="6">
        <v>2.68598127148525e-6</v>
      </c>
      <c r="F981" s="6">
        <v>0</v>
      </c>
      <c r="G981" s="8">
        <v>-1</v>
      </c>
    </row>
    <row r="982" spans="1:7">
      <c r="A982" s="3">
        <v>978</v>
      </c>
      <c r="B982" s="3" t="s">
        <v>1098</v>
      </c>
      <c r="C982" s="5">
        <v>51.96</v>
      </c>
      <c r="D982" s="5">
        <v>0</v>
      </c>
      <c r="E982" s="6">
        <v>2.68391513204564e-6</v>
      </c>
      <c r="F982" s="6">
        <v>0</v>
      </c>
      <c r="G982" s="8">
        <v>-1</v>
      </c>
    </row>
    <row r="983" spans="1:7">
      <c r="A983" s="3">
        <v>979</v>
      </c>
      <c r="B983" s="3" t="s">
        <v>1099</v>
      </c>
      <c r="C983" s="5">
        <v>51.46</v>
      </c>
      <c r="D983" s="5">
        <v>0</v>
      </c>
      <c r="E983" s="6">
        <v>2.65808838905059e-6</v>
      </c>
      <c r="F983" s="6">
        <v>0</v>
      </c>
      <c r="G983" s="8">
        <v>-1</v>
      </c>
    </row>
    <row r="984" spans="1:7">
      <c r="A984" s="3">
        <v>980</v>
      </c>
      <c r="B984" s="3" t="s">
        <v>1100</v>
      </c>
      <c r="C984" s="5">
        <v>50.05</v>
      </c>
      <c r="D984" s="5">
        <v>0</v>
      </c>
      <c r="E984" s="6">
        <v>2.58525697380455e-6</v>
      </c>
      <c r="F984" s="6">
        <v>0</v>
      </c>
      <c r="G984" s="8">
        <v>-1</v>
      </c>
    </row>
    <row r="985" spans="1:7">
      <c r="A985" s="3">
        <v>981</v>
      </c>
      <c r="B985" s="3" t="s">
        <v>1101</v>
      </c>
      <c r="C985" s="5">
        <v>49.98</v>
      </c>
      <c r="D985" s="5">
        <v>0</v>
      </c>
      <c r="E985" s="6">
        <v>2.58164122978524e-6</v>
      </c>
      <c r="F985" s="6">
        <v>0</v>
      </c>
      <c r="G985" s="8">
        <v>-1</v>
      </c>
    </row>
    <row r="986" spans="1:7">
      <c r="A986" s="3">
        <v>982</v>
      </c>
      <c r="B986" s="3" t="s">
        <v>1102</v>
      </c>
      <c r="C986" s="5">
        <v>48.93</v>
      </c>
      <c r="D986" s="5">
        <v>0</v>
      </c>
      <c r="E986" s="6">
        <v>2.52740506949564e-6</v>
      </c>
      <c r="F986" s="6">
        <v>0</v>
      </c>
      <c r="G986" s="8">
        <v>-1</v>
      </c>
    </row>
    <row r="987" spans="1:7">
      <c r="A987" s="3">
        <v>983</v>
      </c>
      <c r="B987" s="3" t="s">
        <v>1103</v>
      </c>
      <c r="C987" s="5">
        <v>47.88</v>
      </c>
      <c r="D987" s="5">
        <v>0</v>
      </c>
      <c r="E987" s="6">
        <v>2.47316890920603e-6</v>
      </c>
      <c r="F987" s="6">
        <v>0</v>
      </c>
      <c r="G987" s="8">
        <v>-1</v>
      </c>
    </row>
    <row r="988" spans="1:7">
      <c r="A988" s="3">
        <v>984</v>
      </c>
      <c r="B988" s="3" t="s">
        <v>1104</v>
      </c>
      <c r="C988" s="5">
        <v>47.79</v>
      </c>
      <c r="D988" s="5">
        <v>0</v>
      </c>
      <c r="E988" s="6">
        <v>2.46852009546692e-6</v>
      </c>
      <c r="F988" s="6">
        <v>0</v>
      </c>
      <c r="G988" s="8">
        <v>-1</v>
      </c>
    </row>
    <row r="989" spans="1:7">
      <c r="A989" s="3">
        <v>985</v>
      </c>
      <c r="B989" s="3" t="s">
        <v>1105</v>
      </c>
      <c r="C989" s="5">
        <v>46.66</v>
      </c>
      <c r="D989" s="5">
        <v>0</v>
      </c>
      <c r="E989" s="6">
        <v>2.41015165629811e-6</v>
      </c>
      <c r="F989" s="6">
        <v>0</v>
      </c>
      <c r="G989" s="8">
        <v>-1</v>
      </c>
    </row>
    <row r="990" spans="1:7">
      <c r="A990" s="3">
        <v>986</v>
      </c>
      <c r="B990" s="3" t="s">
        <v>1106</v>
      </c>
      <c r="C990" s="5">
        <v>45.98</v>
      </c>
      <c r="D990" s="5">
        <v>0</v>
      </c>
      <c r="E990" s="6">
        <v>2.37502728582484e-6</v>
      </c>
      <c r="F990" s="6">
        <v>0</v>
      </c>
      <c r="G990" s="8">
        <v>-1</v>
      </c>
    </row>
    <row r="991" spans="1:7">
      <c r="A991" s="3">
        <v>987</v>
      </c>
      <c r="B991" s="3" t="s">
        <v>1107</v>
      </c>
      <c r="C991" s="5">
        <v>45.25</v>
      </c>
      <c r="D991" s="5">
        <v>0</v>
      </c>
      <c r="E991" s="6">
        <v>2.33732024105207e-6</v>
      </c>
      <c r="F991" s="6">
        <v>0</v>
      </c>
      <c r="G991" s="8">
        <v>-1</v>
      </c>
    </row>
    <row r="992" spans="1:7">
      <c r="A992" s="3">
        <v>988</v>
      </c>
      <c r="B992" s="3" t="s">
        <v>1108</v>
      </c>
      <c r="C992" s="5">
        <v>42.55</v>
      </c>
      <c r="D992" s="5">
        <v>0</v>
      </c>
      <c r="E992" s="6">
        <v>2.1978558288788e-6</v>
      </c>
      <c r="F992" s="6">
        <v>0</v>
      </c>
      <c r="G992" s="8">
        <v>-1</v>
      </c>
    </row>
    <row r="993" spans="1:7">
      <c r="A993" s="3">
        <v>989</v>
      </c>
      <c r="B993" s="3" t="s">
        <v>1109</v>
      </c>
      <c r="C993" s="5">
        <v>42.34</v>
      </c>
      <c r="D993" s="5">
        <v>0</v>
      </c>
      <c r="E993" s="6">
        <v>2.18700859682087e-6</v>
      </c>
      <c r="F993" s="6">
        <v>0</v>
      </c>
      <c r="G993" s="8">
        <v>-1</v>
      </c>
    </row>
    <row r="994" spans="1:7">
      <c r="A994" s="3">
        <v>990</v>
      </c>
      <c r="B994" s="3" t="s">
        <v>1110</v>
      </c>
      <c r="C994" s="5">
        <v>42.3</v>
      </c>
      <c r="D994" s="5">
        <v>0</v>
      </c>
      <c r="E994" s="6">
        <v>2.18494245738127e-6</v>
      </c>
      <c r="F994" s="6">
        <v>0</v>
      </c>
      <c r="G994" s="8">
        <v>-1</v>
      </c>
    </row>
    <row r="995" spans="1:7">
      <c r="A995" s="3">
        <v>991</v>
      </c>
      <c r="B995" s="3" t="s">
        <v>1111</v>
      </c>
      <c r="C995" s="5">
        <v>40</v>
      </c>
      <c r="D995" s="5">
        <v>0</v>
      </c>
      <c r="E995" s="6">
        <v>2.06613943960404e-6</v>
      </c>
      <c r="F995" s="6">
        <v>0</v>
      </c>
      <c r="G995" s="8">
        <v>-1</v>
      </c>
    </row>
    <row r="996" spans="1:7">
      <c r="A996" s="3">
        <v>992</v>
      </c>
      <c r="B996" s="3" t="s">
        <v>1112</v>
      </c>
      <c r="C996" s="5">
        <v>39.99</v>
      </c>
      <c r="D996" s="5">
        <v>0</v>
      </c>
      <c r="E996" s="6">
        <v>2.06562290474414e-6</v>
      </c>
      <c r="F996" s="6">
        <v>0</v>
      </c>
      <c r="G996" s="8">
        <v>-1</v>
      </c>
    </row>
    <row r="997" spans="1:7">
      <c r="A997" s="3">
        <v>993</v>
      </c>
      <c r="B997" s="3" t="s">
        <v>1113</v>
      </c>
      <c r="C997" s="5">
        <v>39.98</v>
      </c>
      <c r="D997" s="5">
        <v>0</v>
      </c>
      <c r="E997" s="6">
        <v>2.06510636988424e-6</v>
      </c>
      <c r="F997" s="6">
        <v>0</v>
      </c>
      <c r="G997" s="8">
        <v>-1</v>
      </c>
    </row>
    <row r="998" spans="1:7">
      <c r="A998" s="3">
        <v>994</v>
      </c>
      <c r="B998" s="3" t="s">
        <v>1114</v>
      </c>
      <c r="C998" s="5">
        <v>39.96</v>
      </c>
      <c r="D998" s="5">
        <v>0</v>
      </c>
      <c r="E998" s="6">
        <v>2.06407330016443e-6</v>
      </c>
      <c r="F998" s="6">
        <v>0</v>
      </c>
      <c r="G998" s="8">
        <v>-1</v>
      </c>
    </row>
    <row r="999" spans="1:7">
      <c r="A999" s="3">
        <v>995</v>
      </c>
      <c r="B999" s="3" t="s">
        <v>1115</v>
      </c>
      <c r="C999" s="5">
        <v>39.74</v>
      </c>
      <c r="D999" s="5">
        <v>0</v>
      </c>
      <c r="E999" s="6">
        <v>2.05270953324661e-6</v>
      </c>
      <c r="F999" s="6">
        <v>0</v>
      </c>
      <c r="G999" s="8">
        <v>-1</v>
      </c>
    </row>
    <row r="1000" spans="1:7">
      <c r="A1000" s="3">
        <v>996</v>
      </c>
      <c r="B1000" s="3" t="s">
        <v>1116</v>
      </c>
      <c r="C1000" s="5">
        <v>39.5</v>
      </c>
      <c r="D1000" s="5">
        <v>0</v>
      </c>
      <c r="E1000" s="6">
        <v>2.04031269660899e-6</v>
      </c>
      <c r="F1000" s="6">
        <v>0</v>
      </c>
      <c r="G1000" s="8">
        <v>-1</v>
      </c>
    </row>
    <row r="1001" spans="1:7">
      <c r="A1001" s="3">
        <v>997</v>
      </c>
      <c r="B1001" s="3" t="s">
        <v>1117</v>
      </c>
      <c r="C1001" s="5">
        <v>39.35</v>
      </c>
      <c r="D1001" s="5">
        <v>0</v>
      </c>
      <c r="E1001" s="6">
        <v>2.03256467371047e-6</v>
      </c>
      <c r="F1001" s="6">
        <v>0</v>
      </c>
      <c r="G1001" s="8">
        <v>-1</v>
      </c>
    </row>
    <row r="1002" spans="1:7">
      <c r="A1002" s="3">
        <v>998</v>
      </c>
      <c r="B1002" s="3" t="s">
        <v>1118</v>
      </c>
      <c r="C1002" s="5">
        <v>38.97</v>
      </c>
      <c r="D1002" s="5">
        <v>0</v>
      </c>
      <c r="E1002" s="6">
        <v>2.01293634903423e-6</v>
      </c>
      <c r="F1002" s="6">
        <v>0</v>
      </c>
      <c r="G1002" s="8">
        <v>-1</v>
      </c>
    </row>
    <row r="1003" spans="1:7">
      <c r="A1003" s="3">
        <v>999</v>
      </c>
      <c r="B1003" s="3" t="s">
        <v>1119</v>
      </c>
      <c r="C1003" s="5">
        <v>38.37</v>
      </c>
      <c r="D1003" s="5">
        <v>0</v>
      </c>
      <c r="E1003" s="6">
        <v>1.98194425744017e-6</v>
      </c>
      <c r="F1003" s="6">
        <v>0</v>
      </c>
      <c r="G1003" s="8">
        <v>-1</v>
      </c>
    </row>
    <row r="1004" spans="1:7">
      <c r="A1004" s="3">
        <v>1000</v>
      </c>
      <c r="B1004" s="3" t="s">
        <v>1120</v>
      </c>
      <c r="C1004" s="5">
        <v>37.96</v>
      </c>
      <c r="D1004" s="5">
        <v>0</v>
      </c>
      <c r="E1004" s="6">
        <v>1.96076632818423e-6</v>
      </c>
      <c r="F1004" s="6">
        <v>0</v>
      </c>
      <c r="G1004" s="8">
        <v>-1</v>
      </c>
    </row>
    <row r="1005" spans="1:7">
      <c r="A1005" s="3">
        <v>1001</v>
      </c>
      <c r="B1005" s="3" t="s">
        <v>1121</v>
      </c>
      <c r="C1005" s="5">
        <v>37.95</v>
      </c>
      <c r="D1005" s="5">
        <v>0</v>
      </c>
      <c r="E1005" s="6">
        <v>1.96024979332433e-6</v>
      </c>
      <c r="F1005" s="6">
        <v>0</v>
      </c>
      <c r="G1005" s="8">
        <v>-1</v>
      </c>
    </row>
    <row r="1006" spans="1:7">
      <c r="A1006" s="3">
        <v>1002</v>
      </c>
      <c r="B1006" s="3" t="s">
        <v>1122</v>
      </c>
      <c r="C1006" s="5">
        <v>36.57</v>
      </c>
      <c r="D1006" s="5">
        <v>0</v>
      </c>
      <c r="E1006" s="6">
        <v>1.88896798265799e-6</v>
      </c>
      <c r="F1006" s="6">
        <v>0</v>
      </c>
      <c r="G1006" s="8">
        <v>-1</v>
      </c>
    </row>
    <row r="1007" spans="1:7">
      <c r="A1007" s="3">
        <v>1003</v>
      </c>
      <c r="B1007" s="3" t="s">
        <v>1123</v>
      </c>
      <c r="C1007" s="5">
        <v>36</v>
      </c>
      <c r="D1007" s="5">
        <v>0</v>
      </c>
      <c r="E1007" s="6">
        <v>1.85952549564363e-6</v>
      </c>
      <c r="F1007" s="6">
        <v>0</v>
      </c>
      <c r="G1007" s="8">
        <v>-1</v>
      </c>
    </row>
    <row r="1008" spans="1:7">
      <c r="A1008" s="3">
        <v>1004</v>
      </c>
      <c r="B1008" s="3" t="s">
        <v>1124</v>
      </c>
      <c r="C1008" s="5">
        <v>35.99</v>
      </c>
      <c r="D1008" s="5">
        <v>0</v>
      </c>
      <c r="E1008" s="6">
        <v>1.85900896078373e-6</v>
      </c>
      <c r="F1008" s="6">
        <v>0</v>
      </c>
      <c r="G1008" s="8">
        <v>-1</v>
      </c>
    </row>
    <row r="1009" spans="1:7">
      <c r="A1009" s="3">
        <v>1005</v>
      </c>
      <c r="B1009" s="3" t="s">
        <v>1125</v>
      </c>
      <c r="C1009" s="5">
        <v>35.64</v>
      </c>
      <c r="D1009" s="5">
        <v>0</v>
      </c>
      <c r="E1009" s="6">
        <v>1.8409302406872e-6</v>
      </c>
      <c r="F1009" s="6">
        <v>0</v>
      </c>
      <c r="G1009" s="8">
        <v>-1</v>
      </c>
    </row>
    <row r="1010" spans="1:7">
      <c r="A1010" s="3">
        <v>1006</v>
      </c>
      <c r="B1010" s="3" t="s">
        <v>1126</v>
      </c>
      <c r="C1010" s="5">
        <v>35.07</v>
      </c>
      <c r="D1010" s="5">
        <v>0</v>
      </c>
      <c r="E1010" s="6">
        <v>1.81148775367284e-6</v>
      </c>
      <c r="F1010" s="6">
        <v>0</v>
      </c>
      <c r="G1010" s="8">
        <v>-1</v>
      </c>
    </row>
    <row r="1011" spans="1:7">
      <c r="A1011" s="3">
        <v>1007</v>
      </c>
      <c r="B1011" s="3" t="s">
        <v>1127</v>
      </c>
      <c r="C1011" s="5">
        <v>34.96</v>
      </c>
      <c r="D1011" s="5">
        <v>0</v>
      </c>
      <c r="E1011" s="6">
        <v>1.80580587021393e-6</v>
      </c>
      <c r="F1011" s="6">
        <v>0</v>
      </c>
      <c r="G1011" s="8">
        <v>-1</v>
      </c>
    </row>
    <row r="1012" spans="1:7">
      <c r="A1012" s="3">
        <v>1008</v>
      </c>
      <c r="B1012" s="3" t="s">
        <v>1128</v>
      </c>
      <c r="C1012" s="5">
        <v>34.95</v>
      </c>
      <c r="D1012" s="5">
        <v>0</v>
      </c>
      <c r="E1012" s="6">
        <v>1.80528933535403e-6</v>
      </c>
      <c r="F1012" s="6">
        <v>0</v>
      </c>
      <c r="G1012" s="8">
        <v>-1</v>
      </c>
    </row>
    <row r="1013" spans="1:7">
      <c r="A1013" s="3">
        <v>1009</v>
      </c>
      <c r="B1013" s="3" t="s">
        <v>1129</v>
      </c>
      <c r="C1013" s="5">
        <v>34.53</v>
      </c>
      <c r="D1013" s="5">
        <v>0</v>
      </c>
      <c r="E1013" s="6">
        <v>1.78359487123818e-6</v>
      </c>
      <c r="F1013" s="6">
        <v>0</v>
      </c>
      <c r="G1013" s="8">
        <v>-1</v>
      </c>
    </row>
    <row r="1014" spans="1:7">
      <c r="A1014" s="3">
        <v>1010</v>
      </c>
      <c r="B1014" s="3" t="s">
        <v>1130</v>
      </c>
      <c r="C1014" s="5">
        <v>33.94</v>
      </c>
      <c r="D1014" s="5">
        <v>0</v>
      </c>
      <c r="E1014" s="6">
        <v>1.75311931450403e-6</v>
      </c>
      <c r="F1014" s="6">
        <v>0</v>
      </c>
      <c r="G1014" s="8">
        <v>-1</v>
      </c>
    </row>
    <row r="1015" spans="1:7">
      <c r="A1015" s="3">
        <v>1011</v>
      </c>
      <c r="B1015" s="3" t="s">
        <v>1131</v>
      </c>
      <c r="C1015" s="5">
        <v>32.97</v>
      </c>
      <c r="D1015" s="5">
        <v>0</v>
      </c>
      <c r="E1015" s="6">
        <v>1.70301543309363e-6</v>
      </c>
      <c r="F1015" s="6">
        <v>0</v>
      </c>
      <c r="G1015" s="8">
        <v>-1</v>
      </c>
    </row>
    <row r="1016" spans="1:7">
      <c r="A1016" s="3">
        <v>1012</v>
      </c>
      <c r="B1016" s="3" t="s">
        <v>1132</v>
      </c>
      <c r="C1016" s="5">
        <v>31.98</v>
      </c>
      <c r="D1016" s="5">
        <v>0</v>
      </c>
      <c r="E1016" s="6">
        <v>1.65187848196343e-6</v>
      </c>
      <c r="F1016" s="6">
        <v>0</v>
      </c>
      <c r="G1016" s="8">
        <v>-1</v>
      </c>
    </row>
    <row r="1017" spans="1:7">
      <c r="A1017" s="3">
        <v>1013</v>
      </c>
      <c r="B1017" s="3" t="s">
        <v>1133</v>
      </c>
      <c r="C1017" s="5">
        <v>31.24</v>
      </c>
      <c r="D1017" s="5">
        <v>0</v>
      </c>
      <c r="E1017" s="6">
        <v>1.61365490233075e-6</v>
      </c>
      <c r="F1017" s="6">
        <v>0</v>
      </c>
      <c r="G1017" s="8">
        <v>-1</v>
      </c>
    </row>
    <row r="1018" spans="1:7">
      <c r="A1018" s="3">
        <v>1014</v>
      </c>
      <c r="B1018" s="3" t="s">
        <v>1134</v>
      </c>
      <c r="C1018" s="5">
        <v>30.98</v>
      </c>
      <c r="D1018" s="5">
        <v>0</v>
      </c>
      <c r="E1018" s="6">
        <v>1.60022499597333e-6</v>
      </c>
      <c r="F1018" s="6">
        <v>0</v>
      </c>
      <c r="G1018" s="8">
        <v>-1</v>
      </c>
    </row>
    <row r="1019" spans="1:7">
      <c r="A1019" s="3">
        <v>1015</v>
      </c>
      <c r="B1019" s="3" t="s">
        <v>1135</v>
      </c>
      <c r="C1019" s="5">
        <v>30.36</v>
      </c>
      <c r="D1019" s="5">
        <v>0</v>
      </c>
      <c r="E1019" s="6">
        <v>1.56819983465946e-6</v>
      </c>
      <c r="F1019" s="6">
        <v>0</v>
      </c>
      <c r="G1019" s="8">
        <v>-1</v>
      </c>
    </row>
    <row r="1020" spans="1:7">
      <c r="A1020" s="3">
        <v>1016</v>
      </c>
      <c r="B1020" s="3" t="s">
        <v>1136</v>
      </c>
      <c r="C1020" s="5">
        <v>30.24</v>
      </c>
      <c r="D1020" s="5">
        <v>0</v>
      </c>
      <c r="E1020" s="6">
        <v>1.56200141634065e-6</v>
      </c>
      <c r="F1020" s="6">
        <v>0</v>
      </c>
      <c r="G1020" s="8">
        <v>-1</v>
      </c>
    </row>
    <row r="1021" spans="1:7">
      <c r="A1021" s="3">
        <v>1017</v>
      </c>
      <c r="B1021" s="3" t="s">
        <v>1137</v>
      </c>
      <c r="C1021" s="5">
        <v>29.99</v>
      </c>
      <c r="D1021" s="5">
        <v>0</v>
      </c>
      <c r="E1021" s="6">
        <v>1.54908804484313e-6</v>
      </c>
      <c r="F1021" s="6">
        <v>0</v>
      </c>
      <c r="G1021" s="8">
        <v>-1</v>
      </c>
    </row>
    <row r="1022" spans="1:7">
      <c r="A1022" s="3">
        <v>1018</v>
      </c>
      <c r="B1022" s="3" t="s">
        <v>1138</v>
      </c>
      <c r="C1022" s="5">
        <v>29.98</v>
      </c>
      <c r="D1022" s="5">
        <v>0</v>
      </c>
      <c r="E1022" s="6">
        <v>1.54857150998323e-6</v>
      </c>
      <c r="F1022" s="6">
        <v>0</v>
      </c>
      <c r="G1022" s="8">
        <v>-1</v>
      </c>
    </row>
    <row r="1023" spans="1:7">
      <c r="A1023" s="3">
        <v>1019</v>
      </c>
      <c r="B1023" s="3" t="s">
        <v>1139</v>
      </c>
      <c r="C1023" s="5">
        <v>29.97</v>
      </c>
      <c r="D1023" s="5">
        <v>0</v>
      </c>
      <c r="E1023" s="6">
        <v>1.54805497512332e-6</v>
      </c>
      <c r="F1023" s="6">
        <v>0</v>
      </c>
      <c r="G1023" s="8">
        <v>-1</v>
      </c>
    </row>
    <row r="1024" spans="1:7">
      <c r="A1024" s="3">
        <v>1020</v>
      </c>
      <c r="B1024" s="3" t="s">
        <v>1140</v>
      </c>
      <c r="C1024" s="5">
        <v>29.88</v>
      </c>
      <c r="D1024" s="5">
        <v>0</v>
      </c>
      <c r="E1024" s="6">
        <v>1.54340616138422e-6</v>
      </c>
      <c r="F1024" s="6">
        <v>0</v>
      </c>
      <c r="G1024" s="8">
        <v>-1</v>
      </c>
    </row>
    <row r="1025" spans="1:7">
      <c r="A1025" s="3">
        <v>1021</v>
      </c>
      <c r="B1025" s="3" t="s">
        <v>1141</v>
      </c>
      <c r="C1025" s="5">
        <v>29.27</v>
      </c>
      <c r="D1025" s="5">
        <v>0</v>
      </c>
      <c r="E1025" s="6">
        <v>1.51189753493025e-6</v>
      </c>
      <c r="F1025" s="6">
        <v>0</v>
      </c>
      <c r="G1025" s="8">
        <v>-1</v>
      </c>
    </row>
    <row r="1026" spans="1:7">
      <c r="A1026" s="3">
        <v>1022</v>
      </c>
      <c r="B1026" s="3" t="s">
        <v>1142</v>
      </c>
      <c r="C1026" s="5">
        <v>28.77</v>
      </c>
      <c r="D1026" s="5">
        <v>0</v>
      </c>
      <c r="E1026" s="6">
        <v>1.4860707919352e-6</v>
      </c>
      <c r="F1026" s="6">
        <v>0</v>
      </c>
      <c r="G1026" s="8">
        <v>-1</v>
      </c>
    </row>
    <row r="1027" spans="1:7">
      <c r="A1027" s="3">
        <v>1023</v>
      </c>
      <c r="B1027" s="3" t="s">
        <v>1143</v>
      </c>
      <c r="C1027" s="5">
        <v>28.54</v>
      </c>
      <c r="D1027" s="5">
        <v>0</v>
      </c>
      <c r="E1027" s="6">
        <v>1.47419049015748e-6</v>
      </c>
      <c r="F1027" s="6">
        <v>0</v>
      </c>
      <c r="G1027" s="8">
        <v>-1</v>
      </c>
    </row>
    <row r="1028" spans="1:7">
      <c r="A1028" s="3">
        <v>1024</v>
      </c>
      <c r="B1028" s="3" t="s">
        <v>1144</v>
      </c>
      <c r="C1028" s="5">
        <v>27.99</v>
      </c>
      <c r="D1028" s="5">
        <v>0</v>
      </c>
      <c r="E1028" s="6">
        <v>1.44578107286292e-6</v>
      </c>
      <c r="F1028" s="6">
        <v>0</v>
      </c>
      <c r="G1028" s="8">
        <v>-1</v>
      </c>
    </row>
    <row r="1029" spans="1:7">
      <c r="A1029" s="3">
        <v>1025</v>
      </c>
      <c r="B1029" s="3" t="s">
        <v>1145</v>
      </c>
      <c r="C1029" s="5">
        <v>27.35</v>
      </c>
      <c r="D1029" s="5">
        <v>0</v>
      </c>
      <c r="E1029" s="6">
        <v>1.41272284182926e-6</v>
      </c>
      <c r="F1029" s="6">
        <v>0</v>
      </c>
      <c r="G1029" s="8">
        <v>-1</v>
      </c>
    </row>
    <row r="1030" spans="1:7">
      <c r="A1030" s="3">
        <v>1026</v>
      </c>
      <c r="B1030" s="3" t="s">
        <v>1146</v>
      </c>
      <c r="C1030" s="5">
        <v>27.18</v>
      </c>
      <c r="D1030" s="5">
        <v>0</v>
      </c>
      <c r="E1030" s="6">
        <v>1.40394174921094e-6</v>
      </c>
      <c r="F1030" s="6">
        <v>0</v>
      </c>
      <c r="G1030" s="8">
        <v>-1</v>
      </c>
    </row>
    <row r="1031" spans="1:7">
      <c r="A1031" s="3">
        <v>1027</v>
      </c>
      <c r="B1031" s="3" t="s">
        <v>1147</v>
      </c>
      <c r="C1031" s="5">
        <v>26.99</v>
      </c>
      <c r="D1031" s="5">
        <v>0</v>
      </c>
      <c r="E1031" s="6">
        <v>1.39412758687282e-6</v>
      </c>
      <c r="F1031" s="6">
        <v>0</v>
      </c>
      <c r="G1031" s="8">
        <v>-1</v>
      </c>
    </row>
    <row r="1032" spans="1:7">
      <c r="A1032" s="3">
        <v>1028</v>
      </c>
      <c r="B1032" s="3" t="s">
        <v>1148</v>
      </c>
      <c r="C1032" s="5">
        <v>26.7</v>
      </c>
      <c r="D1032" s="5">
        <v>0</v>
      </c>
      <c r="E1032" s="6">
        <v>1.37914807593569e-6</v>
      </c>
      <c r="F1032" s="6">
        <v>0</v>
      </c>
      <c r="G1032" s="8">
        <v>-1</v>
      </c>
    </row>
    <row r="1033" spans="1:7">
      <c r="A1033" s="3">
        <v>1029</v>
      </c>
      <c r="B1033" s="3" t="s">
        <v>1149</v>
      </c>
      <c r="C1033" s="5">
        <v>26.58</v>
      </c>
      <c r="D1033" s="5">
        <v>0</v>
      </c>
      <c r="E1033" s="6">
        <v>1.37294965761688e-6</v>
      </c>
      <c r="F1033" s="6">
        <v>0</v>
      </c>
      <c r="G1033" s="8">
        <v>-1</v>
      </c>
    </row>
    <row r="1034" spans="1:7">
      <c r="A1034" s="3">
        <v>1030</v>
      </c>
      <c r="B1034" s="3" t="s">
        <v>1150</v>
      </c>
      <c r="C1034" s="5">
        <v>26.37</v>
      </c>
      <c r="D1034" s="5">
        <v>0</v>
      </c>
      <c r="E1034" s="6">
        <v>1.36210242555896e-6</v>
      </c>
      <c r="F1034" s="6">
        <v>0</v>
      </c>
      <c r="G1034" s="8">
        <v>-1</v>
      </c>
    </row>
    <row r="1035" spans="1:7">
      <c r="A1035" s="3">
        <v>1031</v>
      </c>
      <c r="B1035" s="3" t="s">
        <v>1151</v>
      </c>
      <c r="C1035" s="5">
        <v>26.36</v>
      </c>
      <c r="D1035" s="5">
        <v>0</v>
      </c>
      <c r="E1035" s="6">
        <v>1.36158589069906e-6</v>
      </c>
      <c r="F1035" s="6">
        <v>0</v>
      </c>
      <c r="G1035" s="8">
        <v>-1</v>
      </c>
    </row>
    <row r="1036" spans="1:7">
      <c r="A1036" s="3">
        <v>1032</v>
      </c>
      <c r="B1036" s="3" t="s">
        <v>1152</v>
      </c>
      <c r="C1036" s="5">
        <v>26.2</v>
      </c>
      <c r="D1036" s="5">
        <v>0</v>
      </c>
      <c r="E1036" s="6">
        <v>1.35332133294064e-6</v>
      </c>
      <c r="F1036" s="6">
        <v>0</v>
      </c>
      <c r="G1036" s="8">
        <v>-1</v>
      </c>
    </row>
    <row r="1037" spans="1:7">
      <c r="A1037" s="3">
        <v>1033</v>
      </c>
      <c r="B1037" s="3" t="s">
        <v>1153</v>
      </c>
      <c r="C1037" s="5">
        <v>26.14</v>
      </c>
      <c r="D1037" s="5">
        <v>0</v>
      </c>
      <c r="E1037" s="6">
        <v>1.35022212378124e-6</v>
      </c>
      <c r="F1037" s="6">
        <v>0</v>
      </c>
      <c r="G1037" s="8">
        <v>-1</v>
      </c>
    </row>
    <row r="1038" spans="1:7">
      <c r="A1038" s="3">
        <v>1034</v>
      </c>
      <c r="B1038" s="3" t="s">
        <v>1154</v>
      </c>
      <c r="C1038" s="5">
        <v>25.99</v>
      </c>
      <c r="D1038" s="5">
        <v>0</v>
      </c>
      <c r="E1038" s="6">
        <v>1.34247410088272e-6</v>
      </c>
      <c r="F1038" s="6">
        <v>0</v>
      </c>
      <c r="G1038" s="8">
        <v>-1</v>
      </c>
    </row>
    <row r="1039" spans="1:7">
      <c r="A1039" s="3">
        <v>1035</v>
      </c>
      <c r="B1039" s="3" t="s">
        <v>1155</v>
      </c>
      <c r="C1039" s="5">
        <v>25.75</v>
      </c>
      <c r="D1039" s="5">
        <v>0</v>
      </c>
      <c r="E1039" s="6">
        <v>1.3300772642451e-6</v>
      </c>
      <c r="F1039" s="6">
        <v>0</v>
      </c>
      <c r="G1039" s="8">
        <v>-1</v>
      </c>
    </row>
    <row r="1040" spans="1:7">
      <c r="A1040" s="3">
        <v>1036</v>
      </c>
      <c r="B1040" s="3" t="s">
        <v>1156</v>
      </c>
      <c r="C1040" s="5">
        <v>24.99</v>
      </c>
      <c r="D1040" s="5">
        <v>0</v>
      </c>
      <c r="E1040" s="6">
        <v>1.29082061489262e-6</v>
      </c>
      <c r="F1040" s="6">
        <v>0</v>
      </c>
      <c r="G1040" s="8">
        <v>-1</v>
      </c>
    </row>
    <row r="1041" spans="1:7">
      <c r="A1041" s="3">
        <v>1037</v>
      </c>
      <c r="B1041" s="3" t="s">
        <v>1157</v>
      </c>
      <c r="C1041" s="5">
        <v>24.98</v>
      </c>
      <c r="D1041" s="5">
        <v>0</v>
      </c>
      <c r="E1041" s="6">
        <v>1.29030408003272e-6</v>
      </c>
      <c r="F1041" s="6">
        <v>0</v>
      </c>
      <c r="G1041" s="8">
        <v>-1</v>
      </c>
    </row>
    <row r="1042" spans="1:7">
      <c r="A1042" s="3">
        <v>1038</v>
      </c>
      <c r="B1042" s="3" t="s">
        <v>1158</v>
      </c>
      <c r="C1042" s="5">
        <v>24.97</v>
      </c>
      <c r="D1042" s="5">
        <v>0</v>
      </c>
      <c r="E1042" s="6">
        <v>1.28978754517282e-6</v>
      </c>
      <c r="F1042" s="6">
        <v>0</v>
      </c>
      <c r="G1042" s="8">
        <v>-1</v>
      </c>
    </row>
    <row r="1043" spans="1:7">
      <c r="A1043" s="3">
        <v>1039</v>
      </c>
      <c r="B1043" s="3" t="s">
        <v>1159</v>
      </c>
      <c r="C1043" s="5">
        <v>24.95</v>
      </c>
      <c r="D1043" s="5">
        <v>0</v>
      </c>
      <c r="E1043" s="6">
        <v>1.28875447545302e-6</v>
      </c>
      <c r="F1043" s="6">
        <v>0</v>
      </c>
      <c r="G1043" s="8">
        <v>-1</v>
      </c>
    </row>
    <row r="1044" spans="1:7">
      <c r="A1044" s="3">
        <v>1040</v>
      </c>
      <c r="B1044" s="3" t="s">
        <v>1160</v>
      </c>
      <c r="C1044" s="5">
        <v>24</v>
      </c>
      <c r="D1044" s="5">
        <v>0</v>
      </c>
      <c r="E1044" s="6">
        <v>1.23968366376242e-6</v>
      </c>
      <c r="F1044" s="6">
        <v>0</v>
      </c>
      <c r="G1044" s="8">
        <v>-1</v>
      </c>
    </row>
    <row r="1045" spans="1:7">
      <c r="A1045" s="3">
        <v>1041</v>
      </c>
      <c r="B1045" s="3" t="s">
        <v>1161</v>
      </c>
      <c r="C1045" s="5">
        <v>23.98</v>
      </c>
      <c r="D1045" s="5">
        <v>0</v>
      </c>
      <c r="E1045" s="6">
        <v>1.23865059404262e-6</v>
      </c>
      <c r="F1045" s="6">
        <v>0</v>
      </c>
      <c r="G1045" s="8">
        <v>-1</v>
      </c>
    </row>
    <row r="1046" spans="1:7">
      <c r="A1046" s="3">
        <v>1042</v>
      </c>
      <c r="B1046" s="3" t="s">
        <v>1162</v>
      </c>
      <c r="C1046" s="5">
        <v>23.98</v>
      </c>
      <c r="D1046" s="5">
        <v>0</v>
      </c>
      <c r="E1046" s="6">
        <v>1.23865059404262e-6</v>
      </c>
      <c r="F1046" s="6">
        <v>0</v>
      </c>
      <c r="G1046" s="8">
        <v>-1</v>
      </c>
    </row>
    <row r="1047" spans="1:7">
      <c r="A1047" s="3">
        <v>1043</v>
      </c>
      <c r="B1047" s="3" t="s">
        <v>1163</v>
      </c>
      <c r="C1047" s="5">
        <v>23.78</v>
      </c>
      <c r="D1047" s="5">
        <v>0</v>
      </c>
      <c r="E1047" s="6">
        <v>1.2283198968446e-6</v>
      </c>
      <c r="F1047" s="6">
        <v>0</v>
      </c>
      <c r="G1047" s="8">
        <v>-1</v>
      </c>
    </row>
    <row r="1048" spans="1:7">
      <c r="A1048" s="3">
        <v>1044</v>
      </c>
      <c r="B1048" s="3" t="s">
        <v>1164</v>
      </c>
      <c r="C1048" s="5">
        <v>22.98</v>
      </c>
      <c r="D1048" s="5">
        <v>0</v>
      </c>
      <c r="E1048" s="6">
        <v>1.18699710805252e-6</v>
      </c>
      <c r="F1048" s="6">
        <v>0</v>
      </c>
      <c r="G1048" s="8">
        <v>-1</v>
      </c>
    </row>
    <row r="1049" spans="1:7">
      <c r="A1049" s="3">
        <v>1045</v>
      </c>
      <c r="B1049" s="3" t="s">
        <v>1165</v>
      </c>
      <c r="C1049" s="5">
        <v>22.91</v>
      </c>
      <c r="D1049" s="5">
        <v>0</v>
      </c>
      <c r="E1049" s="6">
        <v>1.18338136403321e-6</v>
      </c>
      <c r="F1049" s="6">
        <v>0</v>
      </c>
      <c r="G1049" s="8">
        <v>-1</v>
      </c>
    </row>
    <row r="1050" spans="1:7">
      <c r="A1050" s="3">
        <v>1046</v>
      </c>
      <c r="B1050" s="3" t="s">
        <v>1166</v>
      </c>
      <c r="C1050" s="5">
        <v>22.86</v>
      </c>
      <c r="D1050" s="5">
        <v>0</v>
      </c>
      <c r="E1050" s="6">
        <v>1.18079868973371e-6</v>
      </c>
      <c r="F1050" s="6">
        <v>0</v>
      </c>
      <c r="G1050" s="8">
        <v>-1</v>
      </c>
    </row>
    <row r="1051" spans="1:7">
      <c r="A1051" s="3">
        <v>1047</v>
      </c>
      <c r="B1051" s="3" t="s">
        <v>1167</v>
      </c>
      <c r="C1051" s="5">
        <v>22.54</v>
      </c>
      <c r="D1051" s="5">
        <v>0</v>
      </c>
      <c r="E1051" s="6">
        <v>1.16426957421687e-6</v>
      </c>
      <c r="F1051" s="6">
        <v>0</v>
      </c>
      <c r="G1051" s="8">
        <v>-1</v>
      </c>
    </row>
    <row r="1052" spans="1:7">
      <c r="A1052" s="3">
        <v>1048</v>
      </c>
      <c r="B1052" s="3" t="s">
        <v>1168</v>
      </c>
      <c r="C1052" s="5">
        <v>22.52</v>
      </c>
      <c r="D1052" s="5">
        <v>0</v>
      </c>
      <c r="E1052" s="6">
        <v>1.16323650449707e-6</v>
      </c>
      <c r="F1052" s="6">
        <v>0</v>
      </c>
      <c r="G1052" s="8">
        <v>-1</v>
      </c>
    </row>
    <row r="1053" spans="1:7">
      <c r="A1053" s="3">
        <v>1049</v>
      </c>
      <c r="B1053" s="3" t="s">
        <v>1169</v>
      </c>
      <c r="C1053" s="5">
        <v>21.99</v>
      </c>
      <c r="D1053" s="5">
        <v>0</v>
      </c>
      <c r="E1053" s="6">
        <v>1.13586015692232e-6</v>
      </c>
      <c r="F1053" s="6">
        <v>0</v>
      </c>
      <c r="G1053" s="8">
        <v>-1</v>
      </c>
    </row>
    <row r="1054" spans="1:7">
      <c r="A1054" s="3">
        <v>1050</v>
      </c>
      <c r="B1054" s="3" t="s">
        <v>1170</v>
      </c>
      <c r="C1054" s="5">
        <v>21.98</v>
      </c>
      <c r="D1054" s="5">
        <v>0</v>
      </c>
      <c r="E1054" s="6">
        <v>1.13534362206242e-6</v>
      </c>
      <c r="F1054" s="6">
        <v>0</v>
      </c>
      <c r="G1054" s="8">
        <v>-1</v>
      </c>
    </row>
    <row r="1055" spans="1:7">
      <c r="A1055" s="3">
        <v>1051</v>
      </c>
      <c r="B1055" s="3" t="s">
        <v>1171</v>
      </c>
      <c r="C1055" s="5">
        <v>21.97</v>
      </c>
      <c r="D1055" s="5">
        <v>0</v>
      </c>
      <c r="E1055" s="6">
        <v>1.13482708720252e-6</v>
      </c>
      <c r="F1055" s="6">
        <v>0</v>
      </c>
      <c r="G1055" s="8">
        <v>-1</v>
      </c>
    </row>
    <row r="1056" spans="1:7">
      <c r="A1056" s="3">
        <v>1052</v>
      </c>
      <c r="B1056" s="3" t="s">
        <v>1172</v>
      </c>
      <c r="C1056" s="5">
        <v>21.86</v>
      </c>
      <c r="D1056" s="5">
        <v>0</v>
      </c>
      <c r="E1056" s="6">
        <v>1.12914520374361e-6</v>
      </c>
      <c r="F1056" s="6">
        <v>0</v>
      </c>
      <c r="G1056" s="8">
        <v>-1</v>
      </c>
    </row>
    <row r="1057" spans="1:7">
      <c r="A1057" s="3">
        <v>1053</v>
      </c>
      <c r="B1057" s="3" t="s">
        <v>1173</v>
      </c>
      <c r="C1057" s="5">
        <v>21.66</v>
      </c>
      <c r="D1057" s="5">
        <v>0</v>
      </c>
      <c r="E1057" s="6">
        <v>1.11881450654559e-6</v>
      </c>
      <c r="F1057" s="6">
        <v>0</v>
      </c>
      <c r="G1057" s="8">
        <v>-1</v>
      </c>
    </row>
    <row r="1058" spans="1:7">
      <c r="A1058" s="3">
        <v>1054</v>
      </c>
      <c r="B1058" s="3" t="s">
        <v>1174</v>
      </c>
      <c r="C1058" s="5">
        <v>20.99</v>
      </c>
      <c r="D1058" s="5">
        <v>0</v>
      </c>
      <c r="E1058" s="6">
        <v>1.08420667093222e-6</v>
      </c>
      <c r="F1058" s="6">
        <v>0</v>
      </c>
      <c r="G1058" s="8">
        <v>-1</v>
      </c>
    </row>
    <row r="1059" spans="1:7">
      <c r="A1059" s="3">
        <v>1055</v>
      </c>
      <c r="B1059" s="3" t="s">
        <v>1175</v>
      </c>
      <c r="C1059" s="5">
        <v>20.97</v>
      </c>
      <c r="D1059" s="5">
        <v>0</v>
      </c>
      <c r="E1059" s="6">
        <v>1.08317360121242e-6</v>
      </c>
      <c r="F1059" s="6">
        <v>0</v>
      </c>
      <c r="G1059" s="8">
        <v>-1</v>
      </c>
    </row>
    <row r="1060" spans="1:7">
      <c r="A1060" s="3">
        <v>1056</v>
      </c>
      <c r="B1060" s="3" t="s">
        <v>1176</v>
      </c>
      <c r="C1060" s="5">
        <v>20.93</v>
      </c>
      <c r="D1060" s="5">
        <v>0</v>
      </c>
      <c r="E1060" s="6">
        <v>1.08110746177281e-6</v>
      </c>
      <c r="F1060" s="6">
        <v>0</v>
      </c>
      <c r="G1060" s="8">
        <v>-1</v>
      </c>
    </row>
    <row r="1061" spans="1:7">
      <c r="A1061" s="3">
        <v>1057</v>
      </c>
      <c r="B1061" s="3" t="s">
        <v>1177</v>
      </c>
      <c r="C1061" s="5">
        <v>20.46</v>
      </c>
      <c r="D1061" s="5">
        <v>0</v>
      </c>
      <c r="E1061" s="6">
        <v>1.05683032335747e-6</v>
      </c>
      <c r="F1061" s="6">
        <v>0</v>
      </c>
      <c r="G1061" s="8">
        <v>-1</v>
      </c>
    </row>
    <row r="1062" spans="1:7">
      <c r="A1062" s="3">
        <v>1058</v>
      </c>
      <c r="B1062" s="3" t="s">
        <v>1178</v>
      </c>
      <c r="C1062" s="5">
        <v>20.19</v>
      </c>
      <c r="D1062" s="5">
        <v>0</v>
      </c>
      <c r="E1062" s="6">
        <v>1.04288388214014e-6</v>
      </c>
      <c r="F1062" s="6">
        <v>0</v>
      </c>
      <c r="G1062" s="8">
        <v>-1</v>
      </c>
    </row>
    <row r="1063" spans="1:7">
      <c r="A1063" s="3">
        <v>1059</v>
      </c>
      <c r="B1063" s="3" t="s">
        <v>1179</v>
      </c>
      <c r="C1063" s="5">
        <v>19.99</v>
      </c>
      <c r="D1063" s="5">
        <v>0</v>
      </c>
      <c r="E1063" s="6">
        <v>1.03255318494212e-6</v>
      </c>
      <c r="F1063" s="6">
        <v>0</v>
      </c>
      <c r="G1063" s="8">
        <v>-1</v>
      </c>
    </row>
    <row r="1064" spans="1:7">
      <c r="A1064" s="3">
        <v>1060</v>
      </c>
      <c r="B1064" s="3" t="s">
        <v>1180</v>
      </c>
      <c r="C1064" s="5">
        <v>19.99</v>
      </c>
      <c r="D1064" s="5">
        <v>0</v>
      </c>
      <c r="E1064" s="6">
        <v>1.03255318494212e-6</v>
      </c>
      <c r="F1064" s="6">
        <v>0</v>
      </c>
      <c r="G1064" s="8">
        <v>-1</v>
      </c>
    </row>
    <row r="1065" spans="1:7">
      <c r="A1065" s="3">
        <v>1061</v>
      </c>
      <c r="B1065" s="3" t="s">
        <v>1181</v>
      </c>
      <c r="C1065" s="5">
        <v>19.99</v>
      </c>
      <c r="D1065" s="5">
        <v>0</v>
      </c>
      <c r="E1065" s="6">
        <v>1.03255318494212e-6</v>
      </c>
      <c r="F1065" s="6">
        <v>0</v>
      </c>
      <c r="G1065" s="8">
        <v>-1</v>
      </c>
    </row>
    <row r="1066" spans="1:7">
      <c r="A1066" s="3">
        <v>1062</v>
      </c>
      <c r="B1066" s="3" t="s">
        <v>1182</v>
      </c>
      <c r="C1066" s="5">
        <v>19.98</v>
      </c>
      <c r="D1066" s="5">
        <v>0</v>
      </c>
      <c r="E1066" s="6">
        <v>1.03203665008222e-6</v>
      </c>
      <c r="F1066" s="6">
        <v>0</v>
      </c>
      <c r="G1066" s="8">
        <v>-1</v>
      </c>
    </row>
    <row r="1067" spans="1:7">
      <c r="A1067" s="3">
        <v>1063</v>
      </c>
      <c r="B1067" s="3" t="s">
        <v>1183</v>
      </c>
      <c r="C1067" s="5">
        <v>19.75</v>
      </c>
      <c r="D1067" s="5">
        <v>0</v>
      </c>
      <c r="E1067" s="6">
        <v>1.02015634830449e-6</v>
      </c>
      <c r="F1067" s="6">
        <v>0</v>
      </c>
      <c r="G1067" s="8">
        <v>-1</v>
      </c>
    </row>
    <row r="1068" spans="1:7">
      <c r="A1068" s="3">
        <v>1064</v>
      </c>
      <c r="B1068" s="3" t="s">
        <v>1184</v>
      </c>
      <c r="C1068" s="5">
        <v>19.6</v>
      </c>
      <c r="D1068" s="5">
        <v>0</v>
      </c>
      <c r="E1068" s="6">
        <v>1.01240832540598e-6</v>
      </c>
      <c r="F1068" s="6">
        <v>0</v>
      </c>
      <c r="G1068" s="8">
        <v>-1</v>
      </c>
    </row>
    <row r="1069" spans="1:7">
      <c r="A1069" s="3">
        <v>1065</v>
      </c>
      <c r="B1069" s="3" t="s">
        <v>1185</v>
      </c>
      <c r="C1069" s="5">
        <v>19.32</v>
      </c>
      <c r="D1069" s="5">
        <v>0</v>
      </c>
      <c r="E1069" s="6">
        <v>9.9794534932875e-7</v>
      </c>
      <c r="F1069" s="6">
        <v>0</v>
      </c>
      <c r="G1069" s="8">
        <v>-1</v>
      </c>
    </row>
    <row r="1070" spans="1:7">
      <c r="A1070" s="3">
        <v>1066</v>
      </c>
      <c r="B1070" s="3" t="s">
        <v>1186</v>
      </c>
      <c r="C1070" s="5">
        <v>19.18</v>
      </c>
      <c r="D1070" s="5">
        <v>0</v>
      </c>
      <c r="E1070" s="6">
        <v>9.90713861290136e-7</v>
      </c>
      <c r="F1070" s="6">
        <v>0</v>
      </c>
      <c r="G1070" s="8">
        <v>-1</v>
      </c>
    </row>
    <row r="1071" spans="1:7">
      <c r="A1071" s="3">
        <v>1067</v>
      </c>
      <c r="B1071" s="3" t="s">
        <v>1187</v>
      </c>
      <c r="C1071" s="5">
        <v>18.99</v>
      </c>
      <c r="D1071" s="5">
        <v>0</v>
      </c>
      <c r="E1071" s="6">
        <v>9.80899698952017e-7</v>
      </c>
      <c r="F1071" s="6">
        <v>0</v>
      </c>
      <c r="G1071" s="8">
        <v>-1</v>
      </c>
    </row>
    <row r="1072" spans="1:7">
      <c r="A1072" s="3">
        <v>1068</v>
      </c>
      <c r="B1072" s="3" t="s">
        <v>1188</v>
      </c>
      <c r="C1072" s="5">
        <v>18.99</v>
      </c>
      <c r="D1072" s="5">
        <v>0</v>
      </c>
      <c r="E1072" s="6">
        <v>9.80899698952017e-7</v>
      </c>
      <c r="F1072" s="6">
        <v>0</v>
      </c>
      <c r="G1072" s="8">
        <v>-1</v>
      </c>
    </row>
    <row r="1073" spans="1:7">
      <c r="A1073" s="3">
        <v>1069</v>
      </c>
      <c r="B1073" s="3" t="s">
        <v>1189</v>
      </c>
      <c r="C1073" s="5">
        <v>18.98</v>
      </c>
      <c r="D1073" s="5">
        <v>0</v>
      </c>
      <c r="E1073" s="6">
        <v>9.80383164092116e-7</v>
      </c>
      <c r="F1073" s="6">
        <v>0</v>
      </c>
      <c r="G1073" s="8">
        <v>-1</v>
      </c>
    </row>
    <row r="1074" spans="1:7">
      <c r="A1074" s="3">
        <v>1070</v>
      </c>
      <c r="B1074" s="3" t="s">
        <v>1190</v>
      </c>
      <c r="C1074" s="5">
        <v>18.95</v>
      </c>
      <c r="D1074" s="5">
        <v>0</v>
      </c>
      <c r="E1074" s="6">
        <v>9.78833559512413e-7</v>
      </c>
      <c r="F1074" s="6">
        <v>0</v>
      </c>
      <c r="G1074" s="8">
        <v>-1</v>
      </c>
    </row>
    <row r="1075" spans="1:7">
      <c r="A1075" s="3">
        <v>1071</v>
      </c>
      <c r="B1075" s="3" t="s">
        <v>1191</v>
      </c>
      <c r="C1075" s="5">
        <v>18.78</v>
      </c>
      <c r="D1075" s="5">
        <v>0</v>
      </c>
      <c r="E1075" s="6">
        <v>9.70052466894096e-7</v>
      </c>
      <c r="F1075" s="6">
        <v>0</v>
      </c>
      <c r="G1075" s="8">
        <v>-1</v>
      </c>
    </row>
    <row r="1076" spans="1:7">
      <c r="A1076" s="3">
        <v>1072</v>
      </c>
      <c r="B1076" s="3" t="s">
        <v>1192</v>
      </c>
      <c r="C1076" s="5">
        <v>18.49</v>
      </c>
      <c r="D1076" s="5">
        <v>0</v>
      </c>
      <c r="E1076" s="6">
        <v>9.55072955956966e-7</v>
      </c>
      <c r="F1076" s="6">
        <v>0</v>
      </c>
      <c r="G1076" s="8">
        <v>-1</v>
      </c>
    </row>
    <row r="1077" spans="1:7">
      <c r="A1077" s="3">
        <v>1073</v>
      </c>
      <c r="B1077" s="3" t="s">
        <v>1193</v>
      </c>
      <c r="C1077" s="5">
        <v>17.6</v>
      </c>
      <c r="D1077" s="5">
        <v>0</v>
      </c>
      <c r="E1077" s="6">
        <v>9.09101353425776e-7</v>
      </c>
      <c r="F1077" s="6">
        <v>0</v>
      </c>
      <c r="G1077" s="8">
        <v>-1</v>
      </c>
    </row>
    <row r="1078" spans="1:7">
      <c r="A1078" s="3">
        <v>1074</v>
      </c>
      <c r="B1078" s="3" t="s">
        <v>1194</v>
      </c>
      <c r="C1078" s="5">
        <v>16.99</v>
      </c>
      <c r="D1078" s="5">
        <v>0</v>
      </c>
      <c r="E1078" s="6">
        <v>8.77592726971815e-7</v>
      </c>
      <c r="F1078" s="6">
        <v>0</v>
      </c>
      <c r="G1078" s="8">
        <v>-1</v>
      </c>
    </row>
    <row r="1079" spans="1:7">
      <c r="A1079" s="3">
        <v>1075</v>
      </c>
      <c r="B1079" s="3" t="s">
        <v>1195</v>
      </c>
      <c r="C1079" s="5">
        <v>16.77</v>
      </c>
      <c r="D1079" s="5">
        <v>0</v>
      </c>
      <c r="E1079" s="6">
        <v>8.66228960053993e-7</v>
      </c>
      <c r="F1079" s="6">
        <v>0</v>
      </c>
      <c r="G1079" s="8">
        <v>-1</v>
      </c>
    </row>
    <row r="1080" spans="1:7">
      <c r="A1080" s="3">
        <v>1076</v>
      </c>
      <c r="B1080" s="3" t="s">
        <v>1196</v>
      </c>
      <c r="C1080" s="5">
        <v>16.6</v>
      </c>
      <c r="D1080" s="5">
        <v>0</v>
      </c>
      <c r="E1080" s="6">
        <v>8.57447867435676e-7</v>
      </c>
      <c r="F1080" s="6">
        <v>0</v>
      </c>
      <c r="G1080" s="8">
        <v>-1</v>
      </c>
    </row>
    <row r="1081" spans="1:7">
      <c r="A1081" s="3">
        <v>1077</v>
      </c>
      <c r="B1081" s="3" t="s">
        <v>1197</v>
      </c>
      <c r="C1081" s="5">
        <v>16.39</v>
      </c>
      <c r="D1081" s="5">
        <v>0</v>
      </c>
      <c r="E1081" s="6">
        <v>8.46600635377754e-7</v>
      </c>
      <c r="F1081" s="6">
        <v>0</v>
      </c>
      <c r="G1081" s="8">
        <v>-1</v>
      </c>
    </row>
    <row r="1082" spans="1:7">
      <c r="A1082" s="3">
        <v>1078</v>
      </c>
      <c r="B1082" s="3" t="s">
        <v>1198</v>
      </c>
      <c r="C1082" s="5">
        <v>16</v>
      </c>
      <c r="D1082" s="5">
        <v>0</v>
      </c>
      <c r="E1082" s="6">
        <v>8.26455775841615e-7</v>
      </c>
      <c r="F1082" s="6">
        <v>0</v>
      </c>
      <c r="G1082" s="8">
        <v>-1</v>
      </c>
    </row>
    <row r="1083" spans="1:7">
      <c r="A1083" s="3">
        <v>1079</v>
      </c>
      <c r="B1083" s="3" t="s">
        <v>1199</v>
      </c>
      <c r="C1083" s="5">
        <v>15.99</v>
      </c>
      <c r="D1083" s="5">
        <v>0</v>
      </c>
      <c r="E1083" s="6">
        <v>8.25939240981714e-7</v>
      </c>
      <c r="F1083" s="6">
        <v>0</v>
      </c>
      <c r="G1083" s="8">
        <v>-1</v>
      </c>
    </row>
    <row r="1084" spans="1:7">
      <c r="A1084" s="3">
        <v>1080</v>
      </c>
      <c r="B1084" s="3" t="s">
        <v>1200</v>
      </c>
      <c r="C1084" s="5">
        <v>15.95</v>
      </c>
      <c r="D1084" s="5">
        <v>0</v>
      </c>
      <c r="E1084" s="6">
        <v>8.2387310154211e-7</v>
      </c>
      <c r="F1084" s="6">
        <v>0</v>
      </c>
      <c r="G1084" s="8">
        <v>-1</v>
      </c>
    </row>
    <row r="1085" spans="1:7">
      <c r="A1085" s="3">
        <v>1081</v>
      </c>
      <c r="B1085" s="3" t="s">
        <v>1201</v>
      </c>
      <c r="C1085" s="5">
        <v>15.72</v>
      </c>
      <c r="D1085" s="5">
        <v>0</v>
      </c>
      <c r="E1085" s="6">
        <v>8.11992799764387e-7</v>
      </c>
      <c r="F1085" s="6">
        <v>0</v>
      </c>
      <c r="G1085" s="8">
        <v>-1</v>
      </c>
    </row>
    <row r="1086" spans="1:7">
      <c r="A1086" s="3">
        <v>1082</v>
      </c>
      <c r="B1086" s="3" t="s">
        <v>1202</v>
      </c>
      <c r="C1086" s="5">
        <v>14.99</v>
      </c>
      <c r="D1086" s="5">
        <v>0</v>
      </c>
      <c r="E1086" s="6">
        <v>7.74285754991613e-7</v>
      </c>
      <c r="F1086" s="6">
        <v>0</v>
      </c>
      <c r="G1086" s="8">
        <v>-1</v>
      </c>
    </row>
    <row r="1087" spans="1:7">
      <c r="A1087" s="3">
        <v>1083</v>
      </c>
      <c r="B1087" s="3" t="s">
        <v>1203</v>
      </c>
      <c r="C1087" s="5">
        <v>14.99</v>
      </c>
      <c r="D1087" s="5">
        <v>0</v>
      </c>
      <c r="E1087" s="6">
        <v>7.74285754991613e-7</v>
      </c>
      <c r="F1087" s="6">
        <v>0</v>
      </c>
      <c r="G1087" s="8">
        <v>-1</v>
      </c>
    </row>
    <row r="1088" spans="1:7">
      <c r="A1088" s="3">
        <v>1084</v>
      </c>
      <c r="B1088" s="3" t="s">
        <v>1204</v>
      </c>
      <c r="C1088" s="5">
        <v>14.99</v>
      </c>
      <c r="D1088" s="5">
        <v>0</v>
      </c>
      <c r="E1088" s="6">
        <v>7.74285754991613e-7</v>
      </c>
      <c r="F1088" s="6">
        <v>0</v>
      </c>
      <c r="G1088" s="8">
        <v>-1</v>
      </c>
    </row>
    <row r="1089" spans="1:7">
      <c r="A1089" s="3">
        <v>1085</v>
      </c>
      <c r="B1089" s="3" t="s">
        <v>1205</v>
      </c>
      <c r="C1089" s="5">
        <v>14.99</v>
      </c>
      <c r="D1089" s="5">
        <v>0</v>
      </c>
      <c r="E1089" s="6">
        <v>7.74285754991613e-7</v>
      </c>
      <c r="F1089" s="6">
        <v>0</v>
      </c>
      <c r="G1089" s="8">
        <v>-1</v>
      </c>
    </row>
    <row r="1090" spans="1:7">
      <c r="A1090" s="3">
        <v>1086</v>
      </c>
      <c r="B1090" s="3" t="s">
        <v>1206</v>
      </c>
      <c r="C1090" s="5">
        <v>14.98</v>
      </c>
      <c r="D1090" s="5">
        <v>0</v>
      </c>
      <c r="E1090" s="6">
        <v>7.73769220131712e-7</v>
      </c>
      <c r="F1090" s="6">
        <v>0</v>
      </c>
      <c r="G1090" s="8">
        <v>-1</v>
      </c>
    </row>
    <row r="1091" spans="1:7">
      <c r="A1091" s="3">
        <v>1087</v>
      </c>
      <c r="B1091" s="3" t="s">
        <v>1207</v>
      </c>
      <c r="C1091" s="5">
        <v>14.97</v>
      </c>
      <c r="D1091" s="5">
        <v>0</v>
      </c>
      <c r="E1091" s="6">
        <v>7.73252685271811e-7</v>
      </c>
      <c r="F1091" s="6">
        <v>0</v>
      </c>
      <c r="G1091" s="8">
        <v>-1</v>
      </c>
    </row>
    <row r="1092" spans="1:7">
      <c r="A1092" s="3">
        <v>1088</v>
      </c>
      <c r="B1092" s="3" t="s">
        <v>1208</v>
      </c>
      <c r="C1092" s="5">
        <v>14.95</v>
      </c>
      <c r="D1092" s="5">
        <v>0</v>
      </c>
      <c r="E1092" s="6">
        <v>7.72219615552009e-7</v>
      </c>
      <c r="F1092" s="6">
        <v>0</v>
      </c>
      <c r="G1092" s="8">
        <v>-1</v>
      </c>
    </row>
    <row r="1093" spans="1:7">
      <c r="A1093" s="3">
        <v>1089</v>
      </c>
      <c r="B1093" s="3" t="s">
        <v>1209</v>
      </c>
      <c r="C1093" s="5">
        <v>14.69</v>
      </c>
      <c r="D1093" s="5">
        <v>0</v>
      </c>
      <c r="E1093" s="6">
        <v>7.58789709194583e-7</v>
      </c>
      <c r="F1093" s="6">
        <v>0</v>
      </c>
      <c r="G1093" s="8">
        <v>-1</v>
      </c>
    </row>
    <row r="1094" spans="1:7">
      <c r="A1094" s="3">
        <v>1090</v>
      </c>
      <c r="B1094" s="3" t="s">
        <v>1210</v>
      </c>
      <c r="C1094" s="5">
        <v>14.49</v>
      </c>
      <c r="D1094" s="5">
        <v>0</v>
      </c>
      <c r="E1094" s="6">
        <v>7.48459011996563e-7</v>
      </c>
      <c r="F1094" s="6">
        <v>0</v>
      </c>
      <c r="G1094" s="8">
        <v>-1</v>
      </c>
    </row>
    <row r="1095" spans="1:7">
      <c r="A1095" s="3">
        <v>1091</v>
      </c>
      <c r="B1095" s="3" t="s">
        <v>1211</v>
      </c>
      <c r="C1095" s="5">
        <v>14.32</v>
      </c>
      <c r="D1095" s="5">
        <v>0</v>
      </c>
      <c r="E1095" s="6">
        <v>7.39677919378245e-7</v>
      </c>
      <c r="F1095" s="6">
        <v>0</v>
      </c>
      <c r="G1095" s="8">
        <v>-1</v>
      </c>
    </row>
    <row r="1096" spans="1:7">
      <c r="A1096" s="3">
        <v>1092</v>
      </c>
      <c r="B1096" s="3" t="s">
        <v>1212</v>
      </c>
      <c r="C1096" s="5">
        <v>14.19</v>
      </c>
      <c r="D1096" s="5">
        <v>0</v>
      </c>
      <c r="E1096" s="6">
        <v>7.32962966199532e-7</v>
      </c>
      <c r="F1096" s="6">
        <v>0</v>
      </c>
      <c r="G1096" s="8">
        <v>-1</v>
      </c>
    </row>
    <row r="1097" spans="1:7">
      <c r="A1097" s="3">
        <v>1093</v>
      </c>
      <c r="B1097" s="3" t="s">
        <v>1213</v>
      </c>
      <c r="C1097" s="5">
        <v>14.15</v>
      </c>
      <c r="D1097" s="5">
        <v>0</v>
      </c>
      <c r="E1097" s="6">
        <v>7.30896826759928e-7</v>
      </c>
      <c r="F1097" s="6">
        <v>0</v>
      </c>
      <c r="G1097" s="8">
        <v>-1</v>
      </c>
    </row>
    <row r="1098" spans="1:7">
      <c r="A1098" s="3">
        <v>1094</v>
      </c>
      <c r="B1098" s="3" t="s">
        <v>1214</v>
      </c>
      <c r="C1098" s="5">
        <v>13.98</v>
      </c>
      <c r="D1098" s="5">
        <v>0</v>
      </c>
      <c r="E1098" s="6">
        <v>7.22115734141611e-7</v>
      </c>
      <c r="F1098" s="6">
        <v>0</v>
      </c>
      <c r="G1098" s="8">
        <v>-1</v>
      </c>
    </row>
    <row r="1099" spans="1:7">
      <c r="A1099" s="3">
        <v>1095</v>
      </c>
      <c r="B1099" s="3" t="s">
        <v>1215</v>
      </c>
      <c r="C1099" s="5">
        <v>13.98</v>
      </c>
      <c r="D1099" s="5">
        <v>0</v>
      </c>
      <c r="E1099" s="6">
        <v>7.22115734141611e-7</v>
      </c>
      <c r="F1099" s="6">
        <v>0</v>
      </c>
      <c r="G1099" s="8">
        <v>-1</v>
      </c>
    </row>
    <row r="1100" spans="1:7">
      <c r="A1100" s="3">
        <v>1096</v>
      </c>
      <c r="B1100" s="3" t="s">
        <v>1216</v>
      </c>
      <c r="C1100" s="5">
        <v>13.98</v>
      </c>
      <c r="D1100" s="5">
        <v>0</v>
      </c>
      <c r="E1100" s="6">
        <v>7.22115734141611e-7</v>
      </c>
      <c r="F1100" s="6">
        <v>0</v>
      </c>
      <c r="G1100" s="8">
        <v>-1</v>
      </c>
    </row>
    <row r="1101" spans="1:7">
      <c r="A1101" s="3">
        <v>1097</v>
      </c>
      <c r="B1101" s="3" t="s">
        <v>1217</v>
      </c>
      <c r="C1101" s="5">
        <v>13.63</v>
      </c>
      <c r="D1101" s="5">
        <v>0</v>
      </c>
      <c r="E1101" s="6">
        <v>7.04037014045076e-7</v>
      </c>
      <c r="F1101" s="6">
        <v>0</v>
      </c>
      <c r="G1101" s="8">
        <v>-1</v>
      </c>
    </row>
    <row r="1102" spans="1:7">
      <c r="A1102" s="3">
        <v>1098</v>
      </c>
      <c r="B1102" s="3" t="s">
        <v>1218</v>
      </c>
      <c r="C1102" s="5">
        <v>13.51</v>
      </c>
      <c r="D1102" s="5">
        <v>0</v>
      </c>
      <c r="E1102" s="6">
        <v>6.97838595726264e-7</v>
      </c>
      <c r="F1102" s="6">
        <v>0</v>
      </c>
      <c r="G1102" s="8">
        <v>-1</v>
      </c>
    </row>
    <row r="1103" spans="1:7">
      <c r="A1103" s="3">
        <v>1099</v>
      </c>
      <c r="B1103" s="3" t="s">
        <v>1219</v>
      </c>
      <c r="C1103" s="5">
        <v>12.95</v>
      </c>
      <c r="D1103" s="5">
        <v>0</v>
      </c>
      <c r="E1103" s="6">
        <v>6.68912643571807e-7</v>
      </c>
      <c r="F1103" s="6">
        <v>0</v>
      </c>
      <c r="G1103" s="8">
        <v>-1</v>
      </c>
    </row>
    <row r="1104" spans="1:7">
      <c r="A1104" s="3">
        <v>1100</v>
      </c>
      <c r="B1104" s="3" t="s">
        <v>1220</v>
      </c>
      <c r="C1104" s="5">
        <v>12.81</v>
      </c>
      <c r="D1104" s="5">
        <v>0</v>
      </c>
      <c r="E1104" s="6">
        <v>6.61681155533193e-7</v>
      </c>
      <c r="F1104" s="6">
        <v>0</v>
      </c>
      <c r="G1104" s="8">
        <v>-1</v>
      </c>
    </row>
    <row r="1105" spans="1:7">
      <c r="A1105" s="3">
        <v>1101</v>
      </c>
      <c r="B1105" s="3" t="s">
        <v>1221</v>
      </c>
      <c r="C1105" s="5">
        <v>12.78</v>
      </c>
      <c r="D1105" s="5">
        <v>0</v>
      </c>
      <c r="E1105" s="6">
        <v>6.6013155095349e-7</v>
      </c>
      <c r="F1105" s="6">
        <v>0</v>
      </c>
      <c r="G1105" s="8">
        <v>-1</v>
      </c>
    </row>
    <row r="1106" spans="1:7">
      <c r="A1106" s="3">
        <v>1102</v>
      </c>
      <c r="B1106" s="3" t="s">
        <v>1222</v>
      </c>
      <c r="C1106" s="5">
        <v>12.78</v>
      </c>
      <c r="D1106" s="5">
        <v>0</v>
      </c>
      <c r="E1106" s="6">
        <v>6.6013155095349e-7</v>
      </c>
      <c r="F1106" s="6">
        <v>0</v>
      </c>
      <c r="G1106" s="8">
        <v>-1</v>
      </c>
    </row>
    <row r="1107" spans="1:7">
      <c r="A1107" s="3">
        <v>1103</v>
      </c>
      <c r="B1107" s="3" t="s">
        <v>1223</v>
      </c>
      <c r="C1107" s="5">
        <v>12.29</v>
      </c>
      <c r="D1107" s="5">
        <v>0</v>
      </c>
      <c r="E1107" s="6">
        <v>6.3482134281834e-7</v>
      </c>
      <c r="F1107" s="6">
        <v>0</v>
      </c>
      <c r="G1107" s="8">
        <v>-1</v>
      </c>
    </row>
    <row r="1108" spans="1:7">
      <c r="A1108" s="3">
        <v>1104</v>
      </c>
      <c r="B1108" s="3" t="s">
        <v>1224</v>
      </c>
      <c r="C1108" s="5">
        <v>11.99</v>
      </c>
      <c r="D1108" s="5">
        <v>0</v>
      </c>
      <c r="E1108" s="6">
        <v>6.1932529702131e-7</v>
      </c>
      <c r="F1108" s="6">
        <v>0</v>
      </c>
      <c r="G1108" s="8">
        <v>-1</v>
      </c>
    </row>
    <row r="1109" spans="1:7">
      <c r="A1109" s="3">
        <v>1105</v>
      </c>
      <c r="B1109" s="3" t="s">
        <v>1225</v>
      </c>
      <c r="C1109" s="5">
        <v>11.99</v>
      </c>
      <c r="D1109" s="5">
        <v>0</v>
      </c>
      <c r="E1109" s="6">
        <v>6.1932529702131e-7</v>
      </c>
      <c r="F1109" s="6">
        <v>0</v>
      </c>
      <c r="G1109" s="8">
        <v>-1</v>
      </c>
    </row>
    <row r="1110" spans="1:7">
      <c r="A1110" s="3">
        <v>1106</v>
      </c>
      <c r="B1110" s="3" t="s">
        <v>1226</v>
      </c>
      <c r="C1110" s="5">
        <v>11.98</v>
      </c>
      <c r="D1110" s="5">
        <v>0</v>
      </c>
      <c r="E1110" s="6">
        <v>6.18808762161409e-7</v>
      </c>
      <c r="F1110" s="6">
        <v>0</v>
      </c>
      <c r="G1110" s="8">
        <v>-1</v>
      </c>
    </row>
    <row r="1111" spans="1:7">
      <c r="A1111" s="3">
        <v>1107</v>
      </c>
      <c r="B1111" s="3" t="s">
        <v>1227</v>
      </c>
      <c r="C1111" s="5">
        <v>11.97</v>
      </c>
      <c r="D1111" s="5">
        <v>0</v>
      </c>
      <c r="E1111" s="6">
        <v>6.18292227301508e-7</v>
      </c>
      <c r="F1111" s="6">
        <v>0</v>
      </c>
      <c r="G1111" s="8">
        <v>-1</v>
      </c>
    </row>
    <row r="1112" spans="1:7">
      <c r="A1112" s="3">
        <v>1108</v>
      </c>
      <c r="B1112" s="3" t="s">
        <v>1228</v>
      </c>
      <c r="C1112" s="5">
        <v>11.18</v>
      </c>
      <c r="D1112" s="5">
        <v>0</v>
      </c>
      <c r="E1112" s="6">
        <v>5.77485973369328e-7</v>
      </c>
      <c r="F1112" s="6">
        <v>0</v>
      </c>
      <c r="G1112" s="8">
        <v>-1</v>
      </c>
    </row>
    <row r="1113" spans="1:7">
      <c r="A1113" s="3">
        <v>1109</v>
      </c>
      <c r="B1113" s="3" t="s">
        <v>1229</v>
      </c>
      <c r="C1113" s="5">
        <v>11.18</v>
      </c>
      <c r="D1113" s="5">
        <v>0</v>
      </c>
      <c r="E1113" s="6">
        <v>5.77485973369328e-7</v>
      </c>
      <c r="F1113" s="6">
        <v>0</v>
      </c>
      <c r="G1113" s="8">
        <v>-1</v>
      </c>
    </row>
    <row r="1114" spans="1:7">
      <c r="A1114" s="3">
        <v>1110</v>
      </c>
      <c r="B1114" s="3" t="s">
        <v>1230</v>
      </c>
      <c r="C1114" s="5">
        <v>10.49</v>
      </c>
      <c r="D1114" s="5">
        <v>0</v>
      </c>
      <c r="E1114" s="6">
        <v>5.41845068036159e-7</v>
      </c>
      <c r="F1114" s="6">
        <v>0</v>
      </c>
      <c r="G1114" s="8">
        <v>-1</v>
      </c>
    </row>
    <row r="1115" spans="1:7">
      <c r="A1115" s="3">
        <v>1111</v>
      </c>
      <c r="B1115" s="3" t="s">
        <v>1231</v>
      </c>
      <c r="C1115" s="5">
        <v>10.06</v>
      </c>
      <c r="D1115" s="5">
        <v>0</v>
      </c>
      <c r="E1115" s="6">
        <v>5.19634069060415e-7</v>
      </c>
      <c r="F1115" s="6">
        <v>0</v>
      </c>
      <c r="G1115" s="8">
        <v>-1</v>
      </c>
    </row>
    <row r="1116" spans="1:7">
      <c r="A1116" s="3">
        <v>1112</v>
      </c>
      <c r="B1116" s="3" t="s">
        <v>1232</v>
      </c>
      <c r="C1116" s="5">
        <v>10</v>
      </c>
      <c r="D1116" s="5">
        <v>0</v>
      </c>
      <c r="E1116" s="6">
        <v>5.16534859901009e-7</v>
      </c>
      <c r="F1116" s="6">
        <v>0</v>
      </c>
      <c r="G1116" s="8">
        <v>-1</v>
      </c>
    </row>
    <row r="1117" spans="1:7">
      <c r="A1117" s="3">
        <v>1113</v>
      </c>
      <c r="B1117" s="3" t="s">
        <v>1233</v>
      </c>
      <c r="C1117" s="5">
        <v>9.99</v>
      </c>
      <c r="D1117" s="5">
        <v>0</v>
      </c>
      <c r="E1117" s="6">
        <v>5.16018325041108e-7</v>
      </c>
      <c r="F1117" s="6">
        <v>0</v>
      </c>
      <c r="G1117" s="8">
        <v>-1</v>
      </c>
    </row>
    <row r="1118" spans="1:7">
      <c r="A1118" s="3">
        <v>1114</v>
      </c>
      <c r="B1118" s="3" t="s">
        <v>1234</v>
      </c>
      <c r="C1118" s="5">
        <v>9.99</v>
      </c>
      <c r="D1118" s="5">
        <v>0</v>
      </c>
      <c r="E1118" s="6">
        <v>5.16018325041108e-7</v>
      </c>
      <c r="F1118" s="6">
        <v>0</v>
      </c>
      <c r="G1118" s="8">
        <v>-1</v>
      </c>
    </row>
    <row r="1119" spans="1:7">
      <c r="A1119" s="3">
        <v>1115</v>
      </c>
      <c r="B1119" s="3" t="s">
        <v>1235</v>
      </c>
      <c r="C1119" s="5">
        <v>9.99</v>
      </c>
      <c r="D1119" s="5">
        <v>0</v>
      </c>
      <c r="E1119" s="6">
        <v>5.16018325041108e-7</v>
      </c>
      <c r="F1119" s="6">
        <v>0</v>
      </c>
      <c r="G1119" s="8">
        <v>-1</v>
      </c>
    </row>
    <row r="1120" spans="1:7">
      <c r="A1120" s="3">
        <v>1116</v>
      </c>
      <c r="B1120" s="3" t="s">
        <v>1236</v>
      </c>
      <c r="C1120" s="5">
        <v>9.99</v>
      </c>
      <c r="D1120" s="5">
        <v>0</v>
      </c>
      <c r="E1120" s="6">
        <v>5.16018325041108e-7</v>
      </c>
      <c r="F1120" s="6">
        <v>0</v>
      </c>
      <c r="G1120" s="8">
        <v>-1</v>
      </c>
    </row>
    <row r="1121" spans="1:7">
      <c r="A1121" s="3">
        <v>1117</v>
      </c>
      <c r="B1121" s="3" t="s">
        <v>1237</v>
      </c>
      <c r="C1121" s="5">
        <v>9.99</v>
      </c>
      <c r="D1121" s="5">
        <v>0</v>
      </c>
      <c r="E1121" s="6">
        <v>5.16018325041108e-7</v>
      </c>
      <c r="F1121" s="6">
        <v>0</v>
      </c>
      <c r="G1121" s="8">
        <v>-1</v>
      </c>
    </row>
    <row r="1122" spans="1:7">
      <c r="A1122" s="3">
        <v>1118</v>
      </c>
      <c r="B1122" s="3" t="s">
        <v>1238</v>
      </c>
      <c r="C1122" s="5">
        <v>9.99</v>
      </c>
      <c r="D1122" s="5">
        <v>0</v>
      </c>
      <c r="E1122" s="6">
        <v>5.16018325041108e-7</v>
      </c>
      <c r="F1122" s="6">
        <v>0</v>
      </c>
      <c r="G1122" s="8">
        <v>-1</v>
      </c>
    </row>
    <row r="1123" spans="1:7">
      <c r="A1123" s="3">
        <v>1119</v>
      </c>
      <c r="B1123" s="3" t="s">
        <v>1239</v>
      </c>
      <c r="C1123" s="5">
        <v>9.99</v>
      </c>
      <c r="D1123" s="5">
        <v>0</v>
      </c>
      <c r="E1123" s="6">
        <v>5.16018325041108e-7</v>
      </c>
      <c r="F1123" s="6">
        <v>0</v>
      </c>
      <c r="G1123" s="8">
        <v>-1</v>
      </c>
    </row>
    <row r="1124" spans="1:7">
      <c r="A1124" s="3">
        <v>1120</v>
      </c>
      <c r="B1124" s="3" t="s">
        <v>1240</v>
      </c>
      <c r="C1124" s="5">
        <v>9.99</v>
      </c>
      <c r="D1124" s="5">
        <v>0</v>
      </c>
      <c r="E1124" s="6">
        <v>5.16018325041108e-7</v>
      </c>
      <c r="F1124" s="6">
        <v>0</v>
      </c>
      <c r="G1124" s="8">
        <v>-1</v>
      </c>
    </row>
    <row r="1125" spans="1:7">
      <c r="A1125" s="3">
        <v>1121</v>
      </c>
      <c r="B1125" s="3" t="s">
        <v>1241</v>
      </c>
      <c r="C1125" s="5">
        <v>9.98</v>
      </c>
      <c r="D1125" s="5">
        <v>0</v>
      </c>
      <c r="E1125" s="6">
        <v>5.15501790181207e-7</v>
      </c>
      <c r="F1125" s="6">
        <v>0</v>
      </c>
      <c r="G1125" s="8">
        <v>-1</v>
      </c>
    </row>
    <row r="1126" spans="1:7">
      <c r="A1126" s="3">
        <v>1122</v>
      </c>
      <c r="B1126" s="3" t="s">
        <v>1242</v>
      </c>
      <c r="C1126" s="5">
        <v>9.98</v>
      </c>
      <c r="D1126" s="5">
        <v>0</v>
      </c>
      <c r="E1126" s="6">
        <v>5.15501790181207e-7</v>
      </c>
      <c r="F1126" s="6">
        <v>0</v>
      </c>
      <c r="G1126" s="8">
        <v>-1</v>
      </c>
    </row>
    <row r="1127" spans="1:7">
      <c r="A1127" s="3">
        <v>1123</v>
      </c>
      <c r="B1127" s="3" t="s">
        <v>1243</v>
      </c>
      <c r="C1127" s="5">
        <v>9.94</v>
      </c>
      <c r="D1127" s="5">
        <v>0</v>
      </c>
      <c r="E1127" s="6">
        <v>5.13435650741603e-7</v>
      </c>
      <c r="F1127" s="6">
        <v>0</v>
      </c>
      <c r="G1127" s="8">
        <v>-1</v>
      </c>
    </row>
    <row r="1128" spans="1:7">
      <c r="A1128" s="3">
        <v>1124</v>
      </c>
      <c r="B1128" s="3" t="s">
        <v>1244</v>
      </c>
      <c r="C1128" s="5">
        <v>9.48</v>
      </c>
      <c r="D1128" s="5">
        <v>0</v>
      </c>
      <c r="E1128" s="6">
        <v>4.89675047186157e-7</v>
      </c>
      <c r="F1128" s="6">
        <v>0</v>
      </c>
      <c r="G1128" s="8">
        <v>-1</v>
      </c>
    </row>
    <row r="1129" spans="1:7">
      <c r="A1129" s="3">
        <v>1125</v>
      </c>
      <c r="B1129" s="3" t="s">
        <v>1245</v>
      </c>
      <c r="C1129" s="5">
        <v>8.96</v>
      </c>
      <c r="D1129" s="5">
        <v>0</v>
      </c>
      <c r="E1129" s="6">
        <v>4.62815234471304e-7</v>
      </c>
      <c r="F1129" s="6">
        <v>0</v>
      </c>
      <c r="G1129" s="8">
        <v>-1</v>
      </c>
    </row>
    <row r="1130" spans="1:7">
      <c r="A1130" s="3">
        <v>1126</v>
      </c>
      <c r="B1130" s="3" t="s">
        <v>1246</v>
      </c>
      <c r="C1130" s="5">
        <v>8.9</v>
      </c>
      <c r="D1130" s="5">
        <v>0</v>
      </c>
      <c r="E1130" s="6">
        <v>4.59716025311898e-7</v>
      </c>
      <c r="F1130" s="6">
        <v>0</v>
      </c>
      <c r="G1130" s="8">
        <v>-1</v>
      </c>
    </row>
    <row r="1131" spans="1:7">
      <c r="A1131" s="3">
        <v>1127</v>
      </c>
      <c r="B1131" s="3" t="s">
        <v>1247</v>
      </c>
      <c r="C1131" s="5">
        <v>8.86</v>
      </c>
      <c r="D1131" s="5">
        <v>0</v>
      </c>
      <c r="E1131" s="6">
        <v>4.57649885872294e-7</v>
      </c>
      <c r="F1131" s="6">
        <v>0</v>
      </c>
      <c r="G1131" s="8">
        <v>-1</v>
      </c>
    </row>
    <row r="1132" spans="1:7">
      <c r="A1132" s="3">
        <v>1128</v>
      </c>
      <c r="B1132" s="3" t="s">
        <v>1248</v>
      </c>
      <c r="C1132" s="5">
        <v>8.56</v>
      </c>
      <c r="D1132" s="5">
        <v>0</v>
      </c>
      <c r="E1132" s="6">
        <v>4.42153840075264e-7</v>
      </c>
      <c r="F1132" s="6">
        <v>0</v>
      </c>
      <c r="G1132" s="8">
        <v>-1</v>
      </c>
    </row>
    <row r="1133" spans="1:7">
      <c r="A1133" s="3">
        <v>1129</v>
      </c>
      <c r="B1133" s="3" t="s">
        <v>1249</v>
      </c>
      <c r="C1133" s="5">
        <v>8.49</v>
      </c>
      <c r="D1133" s="5">
        <v>0</v>
      </c>
      <c r="E1133" s="6">
        <v>4.38538096055957e-7</v>
      </c>
      <c r="F1133" s="6">
        <v>0</v>
      </c>
      <c r="G1133" s="8">
        <v>-1</v>
      </c>
    </row>
    <row r="1134" spans="1:7">
      <c r="A1134" s="3">
        <v>1130</v>
      </c>
      <c r="B1134" s="3" t="s">
        <v>1250</v>
      </c>
      <c r="C1134" s="5">
        <v>8.25</v>
      </c>
      <c r="D1134" s="5">
        <v>0</v>
      </c>
      <c r="E1134" s="6">
        <v>4.26141259418333e-7</v>
      </c>
      <c r="F1134" s="6">
        <v>0</v>
      </c>
      <c r="G1134" s="8">
        <v>-1</v>
      </c>
    </row>
    <row r="1135" spans="1:7">
      <c r="A1135" s="3">
        <v>1131</v>
      </c>
      <c r="B1135" s="3" t="s">
        <v>1251</v>
      </c>
      <c r="C1135" s="5">
        <v>8</v>
      </c>
      <c r="D1135" s="5">
        <v>0</v>
      </c>
      <c r="E1135" s="6">
        <v>4.13227887920808e-7</v>
      </c>
      <c r="F1135" s="6">
        <v>0</v>
      </c>
      <c r="G1135" s="8">
        <v>-1</v>
      </c>
    </row>
    <row r="1136" spans="1:7">
      <c r="A1136" s="3">
        <v>1132</v>
      </c>
      <c r="B1136" s="3" t="s">
        <v>1252</v>
      </c>
      <c r="C1136" s="5">
        <v>7.99</v>
      </c>
      <c r="D1136" s="5">
        <v>0</v>
      </c>
      <c r="E1136" s="6">
        <v>4.12711353060907e-7</v>
      </c>
      <c r="F1136" s="6">
        <v>0</v>
      </c>
      <c r="G1136" s="8">
        <v>-1</v>
      </c>
    </row>
    <row r="1137" spans="1:7">
      <c r="A1137" s="3">
        <v>1133</v>
      </c>
      <c r="B1137" s="3" t="s">
        <v>1253</v>
      </c>
      <c r="C1137" s="5">
        <v>7.99</v>
      </c>
      <c r="D1137" s="5">
        <v>0</v>
      </c>
      <c r="E1137" s="6">
        <v>4.12711353060907e-7</v>
      </c>
      <c r="F1137" s="6">
        <v>0</v>
      </c>
      <c r="G1137" s="8">
        <v>-1</v>
      </c>
    </row>
    <row r="1138" spans="1:7">
      <c r="A1138" s="3">
        <v>1134</v>
      </c>
      <c r="B1138" s="3" t="s">
        <v>1254</v>
      </c>
      <c r="C1138" s="5">
        <v>7.99</v>
      </c>
      <c r="D1138" s="5">
        <v>0</v>
      </c>
      <c r="E1138" s="6">
        <v>4.12711353060907e-7</v>
      </c>
      <c r="F1138" s="6">
        <v>0</v>
      </c>
      <c r="G1138" s="8">
        <v>-1</v>
      </c>
    </row>
    <row r="1139" spans="1:7">
      <c r="A1139" s="3">
        <v>1135</v>
      </c>
      <c r="B1139" s="3" t="s">
        <v>1255</v>
      </c>
      <c r="C1139" s="5">
        <v>7.6</v>
      </c>
      <c r="D1139" s="5">
        <v>0</v>
      </c>
      <c r="E1139" s="6">
        <v>3.92566493524767e-7</v>
      </c>
      <c r="F1139" s="6">
        <v>0</v>
      </c>
      <c r="G1139" s="8">
        <v>-1</v>
      </c>
    </row>
    <row r="1140" spans="1:7">
      <c r="A1140" s="3">
        <v>1136</v>
      </c>
      <c r="B1140" s="3" t="s">
        <v>1256</v>
      </c>
      <c r="C1140" s="5">
        <v>6.95</v>
      </c>
      <c r="D1140" s="5">
        <v>0</v>
      </c>
      <c r="E1140" s="6">
        <v>3.58991727631202e-7</v>
      </c>
      <c r="F1140" s="6">
        <v>0</v>
      </c>
      <c r="G1140" s="8">
        <v>-1</v>
      </c>
    </row>
    <row r="1141" spans="1:7">
      <c r="A1141" s="3">
        <v>1137</v>
      </c>
      <c r="B1141" s="3" t="s">
        <v>1257</v>
      </c>
      <c r="C1141" s="5">
        <v>6.58</v>
      </c>
      <c r="D1141" s="5">
        <v>0</v>
      </c>
      <c r="E1141" s="6">
        <v>3.39879937814864e-7</v>
      </c>
      <c r="F1141" s="6">
        <v>0</v>
      </c>
      <c r="G1141" s="8">
        <v>-1</v>
      </c>
    </row>
    <row r="1142" spans="1:7">
      <c r="A1142" s="3">
        <v>1138</v>
      </c>
      <c r="B1142" s="3" t="s">
        <v>1258</v>
      </c>
      <c r="C1142" s="5">
        <v>6.16</v>
      </c>
      <c r="D1142" s="5">
        <v>0</v>
      </c>
      <c r="E1142" s="6">
        <v>3.18185473699022e-7</v>
      </c>
      <c r="F1142" s="6">
        <v>0</v>
      </c>
      <c r="G1142" s="8">
        <v>-1</v>
      </c>
    </row>
    <row r="1143" spans="1:7">
      <c r="A1143" s="3">
        <v>1139</v>
      </c>
      <c r="B1143" s="3" t="s">
        <v>1259</v>
      </c>
      <c r="C1143" s="5">
        <v>6.09</v>
      </c>
      <c r="D1143" s="5">
        <v>0</v>
      </c>
      <c r="E1143" s="6">
        <v>3.14569729679715e-7</v>
      </c>
      <c r="F1143" s="6">
        <v>0</v>
      </c>
      <c r="G1143" s="8">
        <v>-1</v>
      </c>
    </row>
    <row r="1144" spans="1:7">
      <c r="A1144" s="3">
        <v>1140</v>
      </c>
      <c r="B1144" s="3" t="s">
        <v>1260</v>
      </c>
      <c r="C1144" s="5">
        <v>6.08</v>
      </c>
      <c r="D1144" s="5">
        <v>0</v>
      </c>
      <c r="E1144" s="6">
        <v>3.14053194819814e-7</v>
      </c>
      <c r="F1144" s="6">
        <v>0</v>
      </c>
      <c r="G1144" s="8">
        <v>-1</v>
      </c>
    </row>
    <row r="1145" spans="1:7">
      <c r="A1145" s="3">
        <v>1141</v>
      </c>
      <c r="B1145" s="3" t="s">
        <v>1261</v>
      </c>
      <c r="C1145" s="5">
        <v>5.99</v>
      </c>
      <c r="D1145" s="5">
        <v>0</v>
      </c>
      <c r="E1145" s="6">
        <v>3.09404381080705e-7</v>
      </c>
      <c r="F1145" s="6">
        <v>0</v>
      </c>
      <c r="G1145" s="8">
        <v>-1</v>
      </c>
    </row>
    <row r="1146" spans="1:7">
      <c r="A1146" s="3">
        <v>1142</v>
      </c>
      <c r="B1146" s="3" t="s">
        <v>1262</v>
      </c>
      <c r="C1146" s="5">
        <v>5.99</v>
      </c>
      <c r="D1146" s="5">
        <v>0</v>
      </c>
      <c r="E1146" s="6">
        <v>3.09404381080705e-7</v>
      </c>
      <c r="F1146" s="6">
        <v>0</v>
      </c>
      <c r="G1146" s="8">
        <v>-1</v>
      </c>
    </row>
    <row r="1147" spans="1:7">
      <c r="A1147" s="3">
        <v>1143</v>
      </c>
      <c r="B1147" s="3" t="s">
        <v>1263</v>
      </c>
      <c r="C1147" s="5">
        <v>5.99</v>
      </c>
      <c r="D1147" s="5">
        <v>0</v>
      </c>
      <c r="E1147" s="6">
        <v>3.09404381080705e-7</v>
      </c>
      <c r="F1147" s="6">
        <v>0</v>
      </c>
      <c r="G1147" s="8">
        <v>-1</v>
      </c>
    </row>
    <row r="1148" spans="1:7">
      <c r="A1148" s="3">
        <v>1144</v>
      </c>
      <c r="B1148" s="3" t="s">
        <v>1264</v>
      </c>
      <c r="C1148" s="5">
        <v>5.95</v>
      </c>
      <c r="D1148" s="5">
        <v>0</v>
      </c>
      <c r="E1148" s="6">
        <v>3.07338241641101e-7</v>
      </c>
      <c r="F1148" s="6">
        <v>0</v>
      </c>
      <c r="G1148" s="8">
        <v>-1</v>
      </c>
    </row>
    <row r="1149" spans="1:7">
      <c r="A1149" s="3">
        <v>1145</v>
      </c>
      <c r="B1149" s="3" t="s">
        <v>1265</v>
      </c>
      <c r="C1149" s="5">
        <v>5.8</v>
      </c>
      <c r="D1149" s="5">
        <v>0</v>
      </c>
      <c r="E1149" s="6">
        <v>2.99590218742585e-7</v>
      </c>
      <c r="F1149" s="6">
        <v>0</v>
      </c>
      <c r="G1149" s="8">
        <v>-1</v>
      </c>
    </row>
    <row r="1150" spans="1:7">
      <c r="A1150" s="3">
        <v>1146</v>
      </c>
      <c r="B1150" s="3" t="s">
        <v>1266</v>
      </c>
      <c r="C1150" s="5">
        <v>5.74</v>
      </c>
      <c r="D1150" s="5">
        <v>0</v>
      </c>
      <c r="E1150" s="6">
        <v>2.96491009583179e-7</v>
      </c>
      <c r="F1150" s="6">
        <v>0</v>
      </c>
      <c r="G1150" s="8">
        <v>-1</v>
      </c>
    </row>
    <row r="1151" spans="1:7">
      <c r="A1151" s="3">
        <v>1147</v>
      </c>
      <c r="B1151" s="3" t="s">
        <v>1267</v>
      </c>
      <c r="C1151" s="5">
        <v>4.98</v>
      </c>
      <c r="D1151" s="5">
        <v>0</v>
      </c>
      <c r="E1151" s="6">
        <v>2.57234360230703e-7</v>
      </c>
      <c r="F1151" s="6">
        <v>0</v>
      </c>
      <c r="G1151" s="8">
        <v>-1</v>
      </c>
    </row>
    <row r="1152" spans="1:7">
      <c r="A1152" s="3">
        <v>1148</v>
      </c>
      <c r="B1152" s="3" t="s">
        <v>1268</v>
      </c>
      <c r="C1152" s="5">
        <v>4.95</v>
      </c>
      <c r="D1152" s="5">
        <v>0</v>
      </c>
      <c r="E1152" s="6">
        <v>2.55684755651e-7</v>
      </c>
      <c r="F1152" s="6">
        <v>0</v>
      </c>
      <c r="G1152" s="8">
        <v>-1</v>
      </c>
    </row>
    <row r="1153" spans="1:7">
      <c r="A1153" s="3">
        <v>1149</v>
      </c>
      <c r="B1153" s="3" t="s">
        <v>1269</v>
      </c>
      <c r="C1153" s="5">
        <v>2.69</v>
      </c>
      <c r="D1153" s="5">
        <v>0</v>
      </c>
      <c r="E1153" s="6">
        <v>1.38947877313371e-7</v>
      </c>
      <c r="F1153" s="6">
        <v>0</v>
      </c>
      <c r="G1153" s="8">
        <v>-1</v>
      </c>
    </row>
    <row r="1154" spans="1:7">
      <c r="B1154" s="9" t="s">
        <v>28</v>
      </c>
      <c r="C1154" s="10">
        <v>19359777.58</v>
      </c>
      <c r="D1154" s="10">
        <v>16554494.94</v>
      </c>
      <c r="E1154" s="11">
        <v>1</v>
      </c>
      <c r="F1154" s="11">
        <v>1</v>
      </c>
      <c r="G1154" s="8">
        <v>-0.144902627543513</v>
      </c>
    </row>
  </sheetData>
  <autoFilter xmlns:etc="http://www.wps.cn/officeDocument/2017/etCustomData" ref="A4:G1154" etc:filterBottomFollowUsedRange="0">
    <extLst/>
  </autoFilter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showGridLines="0" workbookViewId="0">
      <selection activeCell="A1" sqref="A1"/>
    </sheetView>
  </sheetViews>
  <sheetFormatPr defaultColWidth="9" defaultRowHeight="14" outlineLevelCol="1"/>
  <cols>
    <col min="1" max="1" width="24.7090909090909" customWidth="1"/>
    <col min="2" max="2" width="70.7090909090909" customWidth="1"/>
  </cols>
  <sheetData>
    <row r="1" ht="21" spans="1:2">
      <c r="A1" s="1" t="s">
        <v>1270</v>
      </c>
    </row>
    <row r="4" spans="1:2">
      <c r="A4" s="2" t="s">
        <v>1271</v>
      </c>
      <c r="B4" s="3" t="s">
        <v>1272</v>
      </c>
    </row>
    <row r="5" spans="1:2">
      <c r="A5" s="2" t="s">
        <v>1273</v>
      </c>
      <c r="B5" s="3" t="s">
        <v>1274</v>
      </c>
    </row>
    <row r="6" spans="1:2">
      <c r="A6" s="2" t="s">
        <v>1275</v>
      </c>
      <c r="B6" s="3" t="s">
        <v>1276</v>
      </c>
    </row>
    <row r="7" spans="1:2">
      <c r="A7" s="2" t="s">
        <v>1277</v>
      </c>
      <c r="B7" s="3" t="s">
        <v>1278</v>
      </c>
    </row>
    <row r="8" spans="1:2">
      <c r="A8" s="2" t="s">
        <v>1279</v>
      </c>
      <c r="B8" s="3" t="s">
        <v>1280</v>
      </c>
    </row>
    <row r="9" spans="1:2">
      <c r="A9" s="2" t="s">
        <v>1281</v>
      </c>
      <c r="B9" s="3" t="s">
        <v>1282</v>
      </c>
    </row>
    <row r="10" spans="1:2">
      <c r="A10" s="2" t="s">
        <v>1283</v>
      </c>
      <c r="B10" s="3" t="s">
        <v>1284</v>
      </c>
    </row>
    <row r="11" spans="1:2">
      <c r="A11" s="2" t="s">
        <v>1285</v>
      </c>
      <c r="B11" s="3" t="s">
        <v>1286</v>
      </c>
    </row>
    <row r="12" spans="1:2">
      <c r="A12" s="2" t="s">
        <v>1287</v>
      </c>
      <c r="B12" s="3" t="s">
        <v>1288</v>
      </c>
    </row>
    <row r="13" spans="1:2">
      <c r="A13" s="2" t="s">
        <v>1289</v>
      </c>
      <c r="B13" s="3" t="s">
        <v>1290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大盘</vt:lpstr>
      <vt:lpstr>耳机品牌市占变化</vt:lpstr>
      <vt:lpstr>耳机品牌销额变化</vt:lpstr>
      <vt:lpstr>开耳品牌市占变化</vt:lpstr>
      <vt:lpstr>开耳品牌销额变化</vt:lpstr>
      <vt:lpstr>耳机价位段分布</vt:lpstr>
      <vt:lpstr>开耳价位段分布</vt:lpstr>
      <vt:lpstr>耳机价位段月度变化</vt:lpstr>
      <vt:lpstr>开耳价位段月度变化</vt:lpstr>
      <vt:lpstr>Soundcore</vt:lpstr>
      <vt:lpstr>全品牌汇总</vt:lpstr>
      <vt:lpstr>计算说明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UK Earphone Brand PD YOY</dc:title>
  <dc:subject>Brand share and sales YOY for 25PD and 26PD</dc:subject>
  <dc:description>25PD=2025-07-12; 26PD=2026-06-27; metric=Retail Sales</dc:description>
  <cp:lastModifiedBy>我我我我我</cp:lastModifiedBy>
  <dcterms:created xsi:type="dcterms:W3CDTF">2026-07-14T03:24:00Z</dcterms:created>
  <dcterms:modified xsi:type="dcterms:W3CDTF">2026-07-16T06:19:52Z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C880F1B08F8B47678F5FFC65035B186D_12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